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0c0b2fd818dd3fc3/AI Portfolio/Market sentiment/"/>
    </mc:Choice>
  </mc:AlternateContent>
  <xr:revisionPtr revIDLastSave="98" documentId="11_F25DC773A252ABDACC10483F595B65285ADE58ED" xr6:coauthVersionLast="47" xr6:coauthVersionMax="47" xr10:uidLastSave="{50EEF5A2-7BA3-4B78-AA72-B6768DBB434B}"/>
  <bookViews>
    <workbookView xWindow="40620" yWindow="2070" windowWidth="28800" windowHeight="15460" activeTab="1" xr2:uid="{00000000-000D-0000-FFFF-FFFF00000000}"/>
  </bookViews>
  <sheets>
    <sheet name="Pivot Table" sheetId="2" r:id="rId1"/>
    <sheet name="Raw data" sheetId="1" r:id="rId2"/>
  </sheets>
  <calcPr calcId="191029"/>
  <pivotCaches>
    <pivotCache cacheId="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3" i="1" l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2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2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2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2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AC3" i="1"/>
  <c r="AF3" i="1" s="1"/>
  <c r="AD3" i="1"/>
  <c r="AG3" i="1" s="1"/>
  <c r="AC4" i="1"/>
  <c r="AF4" i="1" s="1"/>
  <c r="AD4" i="1"/>
  <c r="AG4" i="1" s="1"/>
  <c r="AC5" i="1"/>
  <c r="AF5" i="1" s="1"/>
  <c r="AD5" i="1"/>
  <c r="AG5" i="1" s="1"/>
  <c r="AC6" i="1"/>
  <c r="AF6" i="1" s="1"/>
  <c r="AD6" i="1"/>
  <c r="AG6" i="1" s="1"/>
  <c r="AC7" i="1"/>
  <c r="AF7" i="1" s="1"/>
  <c r="AD7" i="1"/>
  <c r="AG7" i="1" s="1"/>
  <c r="AC8" i="1"/>
  <c r="AF8" i="1" s="1"/>
  <c r="AD8" i="1"/>
  <c r="AG8" i="1" s="1"/>
  <c r="AC9" i="1"/>
  <c r="AF9" i="1" s="1"/>
  <c r="AD9" i="1"/>
  <c r="AG9" i="1" s="1"/>
  <c r="AC10" i="1"/>
  <c r="AF10" i="1" s="1"/>
  <c r="AD10" i="1"/>
  <c r="AG10" i="1" s="1"/>
  <c r="AC11" i="1"/>
  <c r="AF11" i="1" s="1"/>
  <c r="AD11" i="1"/>
  <c r="AG11" i="1" s="1"/>
  <c r="AC12" i="1"/>
  <c r="AF12" i="1" s="1"/>
  <c r="AD12" i="1"/>
  <c r="AG12" i="1" s="1"/>
  <c r="AC13" i="1"/>
  <c r="AF13" i="1" s="1"/>
  <c r="AD13" i="1"/>
  <c r="AG13" i="1" s="1"/>
  <c r="AC14" i="1"/>
  <c r="AF14" i="1" s="1"/>
  <c r="AD14" i="1"/>
  <c r="AG14" i="1" s="1"/>
  <c r="AC15" i="1"/>
  <c r="AF15" i="1" s="1"/>
  <c r="AD15" i="1"/>
  <c r="AG15" i="1" s="1"/>
  <c r="AC16" i="1"/>
  <c r="AF16" i="1" s="1"/>
  <c r="AD16" i="1"/>
  <c r="AG16" i="1" s="1"/>
  <c r="AC17" i="1"/>
  <c r="AF17" i="1" s="1"/>
  <c r="AD17" i="1"/>
  <c r="AG17" i="1" s="1"/>
  <c r="AC18" i="1"/>
  <c r="AF18" i="1" s="1"/>
  <c r="AD18" i="1"/>
  <c r="AG18" i="1" s="1"/>
  <c r="AC19" i="1"/>
  <c r="AF19" i="1" s="1"/>
  <c r="AD19" i="1"/>
  <c r="AG19" i="1" s="1"/>
  <c r="AC20" i="1"/>
  <c r="AF20" i="1" s="1"/>
  <c r="AD20" i="1"/>
  <c r="AG20" i="1" s="1"/>
  <c r="AC21" i="1"/>
  <c r="AF21" i="1" s="1"/>
  <c r="AD21" i="1"/>
  <c r="AG21" i="1" s="1"/>
  <c r="AC2" i="1"/>
  <c r="AF2" i="1" s="1"/>
  <c r="AD2" i="1"/>
  <c r="AG2" i="1" s="1"/>
  <c r="AB3" i="1"/>
  <c r="AE3" i="1" s="1"/>
  <c r="AB4" i="1"/>
  <c r="AE4" i="1" s="1"/>
  <c r="AB5" i="1"/>
  <c r="AE5" i="1" s="1"/>
  <c r="AB6" i="1"/>
  <c r="AE6" i="1" s="1"/>
  <c r="AB7" i="1"/>
  <c r="AE7" i="1" s="1"/>
  <c r="AB8" i="1"/>
  <c r="AE8" i="1" s="1"/>
  <c r="AB9" i="1"/>
  <c r="AE9" i="1" s="1"/>
  <c r="AB10" i="1"/>
  <c r="AE10" i="1" s="1"/>
  <c r="AB11" i="1"/>
  <c r="AE11" i="1" s="1"/>
  <c r="AB12" i="1"/>
  <c r="AE12" i="1" s="1"/>
  <c r="AB13" i="1"/>
  <c r="AE13" i="1" s="1"/>
  <c r="AB14" i="1"/>
  <c r="AE14" i="1" s="1"/>
  <c r="AB15" i="1"/>
  <c r="AE15" i="1" s="1"/>
  <c r="AB16" i="1"/>
  <c r="AE16" i="1" s="1"/>
  <c r="AB17" i="1"/>
  <c r="AE17" i="1" s="1"/>
  <c r="AB18" i="1"/>
  <c r="AE18" i="1" s="1"/>
  <c r="AB19" i="1"/>
  <c r="AE19" i="1" s="1"/>
  <c r="AB20" i="1"/>
  <c r="AE20" i="1" s="1"/>
  <c r="AB21" i="1"/>
  <c r="AE21" i="1" s="1"/>
  <c r="AB2" i="1"/>
  <c r="AE2" i="1" s="1"/>
</calcChain>
</file>

<file path=xl/sharedStrings.xml><?xml version="1.0" encoding="utf-8"?>
<sst xmlns="http://schemas.openxmlformats.org/spreadsheetml/2006/main" count="102" uniqueCount="57">
  <si>
    <t>Date</t>
  </si>
  <si>
    <t>Close_DIA</t>
  </si>
  <si>
    <t>Close_IWM</t>
  </si>
  <si>
    <t>Close_SPY</t>
  </si>
  <si>
    <t>High_DIA</t>
  </si>
  <si>
    <t>High_IWM</t>
  </si>
  <si>
    <t>High_SPY</t>
  </si>
  <si>
    <t>Low_DIA</t>
  </si>
  <si>
    <t>Low_IWM</t>
  </si>
  <si>
    <t>Low_SPY</t>
  </si>
  <si>
    <t>Open_DIA</t>
  </si>
  <si>
    <t>Open_IWM</t>
  </si>
  <si>
    <t>Open_SPY</t>
  </si>
  <si>
    <t>Volume_DIA</t>
  </si>
  <si>
    <t>Volume_IWM</t>
  </si>
  <si>
    <t>Volume_SPY</t>
  </si>
  <si>
    <t>SPY_return</t>
  </si>
  <si>
    <t>DIA_return</t>
  </si>
  <si>
    <t>IWM_return</t>
  </si>
  <si>
    <t>SPY_gap_return</t>
  </si>
  <si>
    <t>DIA_gap_return</t>
  </si>
  <si>
    <t>IWM_gap_return</t>
  </si>
  <si>
    <t>Sunday</t>
  </si>
  <si>
    <t>Monday</t>
  </si>
  <si>
    <t>Tuesday</t>
  </si>
  <si>
    <t>Wednesday</t>
  </si>
  <si>
    <t>Thursday</t>
  </si>
  <si>
    <t>Friday</t>
  </si>
  <si>
    <t>Saturday</t>
  </si>
  <si>
    <t>net_sentiment</t>
  </si>
  <si>
    <t>Day_of_week</t>
  </si>
  <si>
    <t>signal_date</t>
  </si>
  <si>
    <t>DIA Daily Open to Close</t>
  </si>
  <si>
    <t>SPY Daily Open to Close</t>
  </si>
  <si>
    <t>IWM Daily Open to Close</t>
  </si>
  <si>
    <t>DIA up or down</t>
  </si>
  <si>
    <t>SPY up or down</t>
  </si>
  <si>
    <t>IWM up or down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</si>
  <si>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</si>
  <si>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mapped_trade_date</t>
  </si>
  <si>
    <t>Holiday</t>
  </si>
  <si>
    <t>matched_DIA_result</t>
  </si>
  <si>
    <t>matched_SPY_result</t>
  </si>
  <si>
    <t>matched_IWM_result</t>
  </si>
  <si>
    <t>sentiment_category</t>
  </si>
  <si>
    <t>Row Labels</t>
  </si>
  <si>
    <t>Negative</t>
  </si>
  <si>
    <t>Neutral</t>
  </si>
  <si>
    <t>Positive</t>
  </si>
  <si>
    <t>(blank)</t>
  </si>
  <si>
    <t>Grand Total</t>
  </si>
  <si>
    <t>Column Labels</t>
  </si>
  <si>
    <t>DOWN</t>
  </si>
  <si>
    <t>UP</t>
  </si>
  <si>
    <t>Count of matched_SPY_result</t>
  </si>
  <si>
    <t>Count of matched_DIA_result</t>
  </si>
  <si>
    <t>Count of matched_IWM_result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</si>
</sst>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11" fontId="0" fillId="0" borderId="0" xfId="0" applyNumberFormat="1"/>
    <xf numFmtId="10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hael Bowman" refreshedDate="46146.64131875" createdVersion="8" refreshedVersion="8" minRefreshableVersion="3" recordCount="32" xr:uid="{A74A426E-CC33-49C0-889C-7B9F37C19FA2}">
  <cacheSource type="worksheet">
    <worksheetSource ref="A1:AK1048576" sheet="Raw data"/>
  </cacheSource>
  <cacheFields count="37">
    <cacheField name="Day_of_week" numFmtId="0">
      <sharedItems containsBlank="1"/>
    </cacheField>
    <cacheField name="signal_date" numFmtId="0">
      <sharedItems containsNonDate="0" containsDate="1" containsString="0" containsBlank="1" minDate="2026-03-22T00:00:00" maxDate="2026-04-20T00:00:00"/>
    </cacheField>
    <cacheField name="net_sentiment" numFmtId="0">
      <sharedItems containsString="0" containsBlank="1" containsNumber="1" containsInteger="1" minValue="-13" maxValue="1"/>
    </cacheField>
    <cacheField name="mapped_trade_date" numFmtId="0">
      <sharedItems containsNonDate="0" containsDate="1" containsString="0" containsBlank="1" minDate="2026-03-23T00:00:00" maxDate="2026-04-21T00:00:00"/>
    </cacheField>
    <cacheField name="Holiday" numFmtId="0">
      <sharedItems containsNonDate="0" containsDate="1" containsString="0" containsBlank="1" minDate="2026-04-03T00:00:00" maxDate="2026-04-04T00:00:00"/>
    </cacheField>
    <cacheField name="Date" numFmtId="0">
      <sharedItems containsNonDate="0" containsDate="1" containsString="0" containsBlank="1" minDate="2026-03-23T00:00:00" maxDate="2026-04-21T00:00:00"/>
    </cacheField>
    <cacheField name="Close_DIA" numFmtId="0">
      <sharedItems containsString="0" containsBlank="1" containsNumber="1" minValue="451.19854736328102" maxValue="494.22000122070301"/>
    </cacheField>
    <cacheField name="Close_IWM" numFmtId="0">
      <sharedItems containsString="0" containsBlank="1" containsNumber="1" minValue="239.61000061035099" maxValue="276.79998779296801"/>
    </cacheField>
    <cacheField name="Close_SPY" numFmtId="0">
      <sharedItems containsString="0" containsBlank="1" containsNumber="1" minValue="631.969970703125" maxValue="710.14001464843705"/>
    </cacheField>
    <cacheField name="High_DIA" numFmtId="0">
      <sharedItems containsString="0" containsBlank="1" containsNumber="1" minValue="455.92650032795802" maxValue="497.04000854492102"/>
    </cacheField>
    <cacheField name="High_IWM" numFmtId="0">
      <sharedItems containsString="0" containsBlank="1" containsNumber="1" minValue="245.36999511718699" maxValue="277.63000488281199"/>
    </cacheField>
    <cacheField name="High_SPY" numFmtId="0">
      <sharedItems containsString="0" containsBlank="1" containsNumber="1" minValue="640.36999511718705" maxValue="712.39001464843705"/>
    </cacheField>
    <cacheField name="Low_DIA" numFmtId="0">
      <sharedItems containsString="0" containsBlank="1" containsNumber="1" minValue="450.24891721325201" maxValue="492.30999755859301"/>
    </cacheField>
    <cacheField name="Low_IWM" numFmtId="0">
      <sharedItems containsString="0" containsBlank="1" containsNumber="1" minValue="238.69000244140599" maxValue="274.52999877929602"/>
    </cacheField>
    <cacheField name="Low_SPY" numFmtId="0">
      <sharedItems containsString="0" containsBlank="1" containsNumber="1" minValue="629.280029296875" maxValue="706.14001464843705"/>
    </cacheField>
    <cacheField name="Open_DIA" numFmtId="0">
      <sharedItems containsString="0" containsBlank="1" containsNumber="1" minValue="455.40673190352999" maxValue="493.45001220703102"/>
    </cacheField>
    <cacheField name="Open_IWM" numFmtId="0">
      <sharedItems containsString="0" containsBlank="1" containsNumber="1" minValue="243.03999328613199" maxValue="274.64999389648398"/>
    </cacheField>
    <cacheField name="Open_SPY" numFmtId="0">
      <sharedItems containsString="0" containsBlank="1" containsNumber="1" minValue="638.94000244140602" maxValue="708.780029296875"/>
    </cacheField>
    <cacheField name="Volume_DIA" numFmtId="0">
      <sharedItems containsString="0" containsBlank="1" containsNumber="1" containsInteger="1" minValue="2659000" maxValue="11656300"/>
    </cacheField>
    <cacheField name="Volume_IWM" numFmtId="0">
      <sharedItems containsString="0" containsBlank="1" containsNumber="1" containsInteger="1" minValue="15307091" maxValue="78746600"/>
    </cacheField>
    <cacheField name="Volume_SPY" numFmtId="0">
      <sharedItems containsString="0" containsBlank="1" containsNumber="1" containsInteger="1" minValue="24990355" maxValue="152534100"/>
    </cacheField>
    <cacheField name="SPY_return" numFmtId="0">
      <sharedItems containsString="0" containsBlank="1" containsNumber="1" minValue="-1.7858744158138699E-2" maxValue="2.9067925698914799E-2"/>
    </cacheField>
    <cacheField name="DIA_return" numFmtId="0">
      <sharedItems containsString="0" containsBlank="1" containsNumber="1" minValue="-1.7243159113244699E-2" maxValue="2.85051653136279E-2"/>
    </cacheField>
    <cacheField name="IWM_return" numFmtId="0">
      <sharedItems containsString="0" containsBlank="1" containsNumber="1" minValue="-1.7539590587897499E-2" maxValue="3.5015230450635697E-2"/>
    </cacheField>
    <cacheField name="SPY_gap_return" numFmtId="0">
      <sharedItems containsString="0" containsBlank="1" containsNumber="1" minValue="-1.3460728062497899E-2" maxValue="2.6046000892538002E-2"/>
    </cacheField>
    <cacheField name="DIA_gap_return" numFmtId="0">
      <sharedItems containsString="0" containsBlank="1" containsNumber="1" minValue="-1.1429132324949499E-2" maxValue="2.7904154819038799E-2"/>
    </cacheField>
    <cacheField name="IWM_gap_return" numFmtId="0">
      <sharedItems containsString="0" containsBlank="1" containsNumber="1" minValue="-1.85125627599943E-2" maxValue="3.4043672558976897E-2"/>
    </cacheField>
    <cacheField name="DIA Daily Open to Close" numFmtId="0">
      <sharedItems containsString="0" containsBlank="1" containsNumber="1" minValue="-1.3053111103577429E-2" maxValue="1.3966430062630424E-2"/>
    </cacheField>
    <cacheField name="SPY Daily Open to Close" numFmtId="0">
      <sharedItems containsString="0" containsBlank="1" containsNumber="1" minValue="-1.3089452365030422E-2" maxValue="1.7842089038880252E-2"/>
    </cacheField>
    <cacheField name="IWM Daily Open to Close" numFmtId="0">
      <sharedItems containsString="0" containsBlank="1" containsNumber="1" minValue="-2.3395171593116874E-2" maxValue="2.5924678621022816E-2"/>
    </cacheField>
    <cacheField name="DIA up or down" numFmtId="0">
      <sharedItems containsBlank="1"/>
    </cacheField>
    <cacheField name="SPY up or down" numFmtId="0">
      <sharedItems containsBlank="1" longText="1"/>
    </cacheField>
    <cacheField name="IWM up or down" numFmtId="0">
      <sharedItems containsBlank="1"/>
    </cacheField>
    <cacheField name="matched_DIA_result" numFmtId="0">
      <sharedItems containsBlank="1" count="3">
        <s v="DOWN"/>
        <s v="UP"/>
        <m/>
      </sharedItems>
    </cacheField>
    <cacheField name="matched_SPY_result" numFmtId="0">
      <sharedItems containsBlank="1" count="3">
        <s v="DOWN"/>
        <s v="UP"/>
        <m/>
      </sharedItems>
    </cacheField>
    <cacheField name="matched_IWM_result" numFmtId="0">
      <sharedItems containsBlank="1" count="3">
        <s v="UP"/>
        <s v="DOWN"/>
        <m/>
      </sharedItems>
    </cacheField>
    <cacheField name="sentiment_category" numFmtId="0">
      <sharedItems containsBlank="1" count="4">
        <s v="Negative"/>
        <s v="Neutral"/>
        <s v="Positive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s v="Sunday"/>
    <d v="2026-03-22T00:00:00"/>
    <n v="-2"/>
    <d v="2026-03-23T00:00:00"/>
    <d v="2026-04-03T00:00:00"/>
    <d v="2026-03-23T00:00:00"/>
    <n v="461.77401733398398"/>
    <n v="247.44999694824199"/>
    <n v="655.38000488281205"/>
    <n v="466.84187378317102"/>
    <n v="251.36000061035099"/>
    <n v="662.61999511718705"/>
    <n v="460.72447498268502"/>
    <n v="246.11000061035099"/>
    <n v="653.94000244140602"/>
    <n v="463.10343967927201"/>
    <n v="247.169998168945"/>
    <n v="658.07000732421795"/>
    <n v="9978100"/>
    <n v="78746600"/>
    <n v="134802700"/>
    <n v="1.05000192449378E-2"/>
    <n v="1.33364880228836E-2"/>
    <n v="2.1591923462892001E-2"/>
    <n v="1.4647609190554099E-2"/>
    <n v="1.6253828799765301E-2"/>
    <n v="2.0435954600346602E-2"/>
    <n v="-2.8706812158612884E-3"/>
    <n v="-4.087714698233616E-3"/>
    <n v="1.1328186324037785E-3"/>
    <s v="DOWN"/>
    <s v="DOWN"/>
    <s v="UP"/>
    <x v="0"/>
    <x v="0"/>
    <x v="0"/>
    <x v="0"/>
  </r>
  <r>
    <s v="Monday"/>
    <d v="2026-03-23T00:00:00"/>
    <n v="-2"/>
    <d v="2026-03-24T00:00:00"/>
    <m/>
    <d v="2026-03-24T00:00:00"/>
    <n v="460.97439575195301"/>
    <n v="248.77999877929599"/>
    <n v="653.17999267578102"/>
    <n v="463.74320980021702"/>
    <n v="250.16000366210901"/>
    <n v="657.030029296875"/>
    <n v="457.245966950195"/>
    <n v="244.600006103515"/>
    <n v="649.88000488281205"/>
    <n v="458.22556223848198"/>
    <n v="245.509994506835"/>
    <n v="651.32000732421795"/>
    <n v="8188000"/>
    <n v="45210800"/>
    <n v="96457500"/>
    <n v="-3.3568497522664599E-3"/>
    <n v="-1.7316296543660101E-3"/>
    <n v="5.3748306625878099E-3"/>
    <n v="-6.1948755353311499E-3"/>
    <n v="-7.6843974808038298E-3"/>
    <n v="-7.8399776331863503E-3"/>
    <n v="5.9988654933231453E-3"/>
    <n v="2.8557165919166887E-3"/>
    <n v="1.3319230767079656E-2"/>
    <s v="UP"/>
    <s v="UP"/>
    <s v="UP"/>
    <x v="1"/>
    <x v="1"/>
    <x v="0"/>
    <x v="0"/>
  </r>
  <r>
    <s v="Tuesday"/>
    <d v="2026-03-24T00:00:00"/>
    <n v="0"/>
    <d v="2026-03-25T00:00:00"/>
    <m/>
    <d v="2026-03-25T00:00:00"/>
    <n v="463.943115234375"/>
    <n v="251.82000732421801"/>
    <n v="656.82000732421795"/>
    <n v="467.04177573573099"/>
    <n v="253.07000732421801"/>
    <n v="660.89001464843705"/>
    <n v="461.60408107486398"/>
    <n v="249.52000427246"/>
    <n v="654.239990234375"/>
    <n v="465.53243705738299"/>
    <n v="251.74000549316401"/>
    <n v="658.66998291015602"/>
    <n v="7019700"/>
    <n v="45671700"/>
    <n v="90653800"/>
    <n v="5.5727589473859498E-3"/>
    <n v="6.4400962608328598E-3"/>
    <n v="1.22196662104607E-2"/>
    <n v="8.4050189778241795E-3"/>
    <n v="9.8878405122590999E-3"/>
    <n v="1.18980895907678E-2"/>
    <n v="-3.4139872895947907E-3"/>
    <n v="-2.8086532465992292E-3"/>
    <n v="3.1779546082586315E-4"/>
    <s v="DOWN"/>
    <s v="DOWN"/>
    <s v="UP"/>
    <x v="0"/>
    <x v="0"/>
    <x v="0"/>
    <x v="1"/>
  </r>
  <r>
    <s v="Wednesday"/>
    <d v="2026-03-25T00:00:00"/>
    <n v="-5"/>
    <d v="2026-03-26T00:00:00"/>
    <m/>
    <d v="2026-03-26T00:00:00"/>
    <n v="459.115142822265"/>
    <n v="247.44000244140599"/>
    <n v="645.09002685546795"/>
    <n v="465.232541631858"/>
    <n v="251.86000061035099"/>
    <n v="654.84997558593705"/>
    <n v="458.74530466943997"/>
    <n v="247.16000366210901"/>
    <n v="644.82000732421795"/>
    <n v="461.34420776299203"/>
    <n v="248.88999938964801"/>
    <n v="652.05999755859295"/>
    <n v="8284000"/>
    <n v="46830200"/>
    <n v="96494400"/>
    <n v="-1.7858744158138699E-2"/>
    <n v="-1.0406388743737199E-2"/>
    <n v="-1.73933951053112E-2"/>
    <n v="-7.2470535497487802E-3"/>
    <n v="-5.6017804468754401E-3"/>
    <n v="-1.16353262225027E-2"/>
    <n v="-4.8316742753431799E-3"/>
    <n v="-1.0689155490632119E-2"/>
    <n v="-5.82585460162256E-3"/>
    <s v="DOWN"/>
    <s v="DOWN"/>
    <s v="DOWN"/>
    <x v="0"/>
    <x v="0"/>
    <x v="1"/>
    <x v="0"/>
  </r>
  <r>
    <s v="Thursday"/>
    <d v="2026-03-26T00:00:00"/>
    <n v="-3"/>
    <d v="2026-03-27T00:00:00"/>
    <m/>
    <d v="2026-03-27T00:00:00"/>
    <n v="451.19854736328102"/>
    <n v="243.100006103515"/>
    <n v="634.09002685546795"/>
    <n v="457.30594102634899"/>
    <n v="246.74000549316401"/>
    <n v="642.65997314453102"/>
    <n v="450.29890471493201"/>
    <n v="242.41000366210901"/>
    <n v="633.10998535156205"/>
    <n v="457.16598576829102"/>
    <n v="246.009994506835"/>
    <n v="642.5"/>
    <n v="6938500"/>
    <n v="48114400"/>
    <n v="103649400"/>
    <n v="-1.7051883523327899E-2"/>
    <n v="-1.7243159113244699E-2"/>
    <n v="-1.7539590587897499E-2"/>
    <n v="-4.01498511470406E-3"/>
    <n v="-4.24546452986071E-3"/>
    <n v="-5.7792108004401498E-3"/>
    <n v="-1.3053111103577429E-2"/>
    <n v="-1.3089452365030422E-2"/>
    <n v="-1.182874057272966E-2"/>
    <s v="DOWN"/>
    <s v="DOWN"/>
    <s v="DOWN"/>
    <x v="0"/>
    <x v="0"/>
    <x v="1"/>
    <x v="0"/>
  </r>
  <r>
    <s v="Friday"/>
    <d v="2026-03-27T00:00:00"/>
    <n v="-6"/>
    <d v="2026-03-30T00:00:00"/>
    <m/>
    <d v="2026-03-30T00:00:00"/>
    <n v="451.86822509765602"/>
    <n v="239.61000061035099"/>
    <n v="631.969970703125"/>
    <n v="455.92650032795802"/>
    <n v="245.36999511718699"/>
    <n v="640.36999511718705"/>
    <n v="450.24891721325201"/>
    <n v="238.69000244140599"/>
    <n v="629.280029296875"/>
    <n v="455.40673190352999"/>
    <n v="245.350006103515"/>
    <n v="640.10998535156205"/>
    <n v="9181600"/>
    <n v="51290500"/>
    <n v="99275900"/>
    <n v="-3.3434623831846101E-3"/>
    <n v="1.4842196152635701E-3"/>
    <n v="-1.43562542391626E-2"/>
    <n v="9.4938545650173206E-3"/>
    <n v="9.3266801607421491E-3"/>
    <n v="9.2554501995442805E-3"/>
    <n v="-7.7699923123304556E-3"/>
    <n v="-1.271658751576321E-2"/>
    <n v="-2.3395171593116874E-2"/>
    <s v="DOWN"/>
    <s v="DOWN"/>
    <s v="DOWN"/>
    <x v="0"/>
    <x v="0"/>
    <x v="1"/>
    <x v="0"/>
  </r>
  <r>
    <s v="Saturday"/>
    <d v="2026-03-28T00:00:00"/>
    <n v="-1"/>
    <d v="2026-03-30T00:00:00"/>
    <m/>
    <d v="2026-03-31T00:00:00"/>
    <n v="462.99349975585898"/>
    <n v="248"/>
    <n v="650.34002685546795"/>
    <n v="463.623237366816"/>
    <n v="248.919998168945"/>
    <n v="651.53997802734295"/>
    <n v="454.47712524317598"/>
    <n v="242.24000549316401"/>
    <n v="637.97998046875"/>
    <n v="456.61620151197798"/>
    <n v="243.03999328613199"/>
    <n v="638.94000244140602"/>
    <n v="11656300"/>
    <n v="58660800"/>
    <n v="152534100"/>
    <n v="2.9067925698914799E-2"/>
    <n v="2.46206173399308E-2"/>
    <n v="3.5015230450635697E-2"/>
    <n v="1.10290552738232E-2"/>
    <n v="1.0507435908546E-2"/>
    <n v="1.4314897821643999E-2"/>
    <n v="1.3966430062630424E-2"/>
    <n v="1.7842089038880252E-2"/>
    <n v="2.0408191453612227E-2"/>
    <s v="UP"/>
    <s v="UP"/>
    <s v="UP"/>
    <x v="0"/>
    <x v="0"/>
    <x v="1"/>
    <x v="0"/>
  </r>
  <r>
    <s v="Sunday"/>
    <d v="2026-03-29T00:00:00"/>
    <n v="0"/>
    <d v="2026-03-30T00:00:00"/>
    <m/>
    <d v="2026-04-01T00:00:00"/>
    <n v="465.28256225585898"/>
    <n v="249.55999755859301"/>
    <n v="655.239990234375"/>
    <n v="467.70151865028498"/>
    <n v="252.44000244140599"/>
    <n v="658.52001953125"/>
    <n v="464.30296697357898"/>
    <n v="249.11000061035099"/>
    <n v="653"/>
    <n v="465.80233069900498"/>
    <n v="249.919998168945"/>
    <n v="653.90002441406205"/>
    <n v="7790300"/>
    <n v="51295900"/>
    <n v="97841500"/>
    <n v="7.5344637828900201E-3"/>
    <n v="4.9440488931422602E-3"/>
    <n v="6.2903127362650101E-3"/>
    <n v="5.4740557425122498E-3"/>
    <n v="6.0666746825333902E-3"/>
    <n v="7.7419281005859297E-3"/>
    <n v="-1.1158562525138444E-3"/>
    <n v="2.0491906564977626E-3"/>
    <n v="-1.440463400246305E-3"/>
    <s v="DOWN"/>
    <s v="UP"/>
    <s v="DOWN"/>
    <x v="0"/>
    <x v="0"/>
    <x v="1"/>
    <x v="1"/>
  </r>
  <r>
    <s v="Monday"/>
    <d v="2026-03-30T00:00:00"/>
    <n v="-4"/>
    <d v="2026-03-31T00:00:00"/>
    <m/>
    <d v="2026-04-02T00:00:00"/>
    <n v="464.862701416015"/>
    <n v="251.28999328613199"/>
    <n v="655.83001708984295"/>
    <n v="467.32164924913599"/>
    <n v="252.36999511718699"/>
    <n v="658.20001220703102"/>
    <n v="458.68533052822397"/>
    <n v="244.86999511718699"/>
    <n v="645.10998535156205"/>
    <n v="459.96478628334501"/>
    <n v="244.94000244140599"/>
    <n v="646.41998291015602"/>
    <n v="3955900"/>
    <n v="30369200"/>
    <n v="68358700"/>
    <n v="9.0047442809115797E-4"/>
    <n v="-9.0237819747229699E-4"/>
    <n v="6.9321836210263204E-3"/>
    <n v="-1.3460728062497899E-2"/>
    <n v="-1.1429132324949499E-2"/>
    <n v="-1.85125627599943E-2"/>
    <n v="1.0648456748714686E-2"/>
    <n v="1.4557152359868807E-2"/>
    <n v="2.5924678621022816E-2"/>
    <s v="UP"/>
    <s v="UP"/>
    <s v="UP"/>
    <x v="1"/>
    <x v="1"/>
    <x v="0"/>
    <x v="0"/>
  </r>
  <r>
    <s v="Tuesday"/>
    <d v="2026-03-31T00:00:00"/>
    <n v="-13"/>
    <d v="2026-04-01T00:00:00"/>
    <m/>
    <d v="2026-04-06T00:00:00"/>
    <n v="466.57199096679602"/>
    <n v="252.36000061035099"/>
    <n v="658.92999267578102"/>
    <n v="466.82188491989302"/>
    <n v="253.05000305175699"/>
    <n v="659.719970703125"/>
    <n v="463.263397468162"/>
    <n v="250.25"/>
    <n v="655.52001953125"/>
    <n v="463.96311273868702"/>
    <n v="250.99000549316401"/>
    <n v="655.85998535156205"/>
    <n v="2905300"/>
    <n v="22151400"/>
    <n v="39105800"/>
    <n v="4.7267973486380104E-3"/>
    <n v="3.6769771925657599E-3"/>
    <n v="4.2580578328097404E-3"/>
    <n v="4.5695166335523997E-5"/>
    <n v="-1.93517069575174E-3"/>
    <n v="-1.1937912411305799E-3"/>
    <n v="5.6230294100522099E-3"/>
    <n v="4.6808882883339117E-3"/>
    <n v="5.4583652225319457E-3"/>
    <s v="UP"/>
    <s v="UP"/>
    <s v="UP"/>
    <x v="0"/>
    <x v="1"/>
    <x v="1"/>
    <x v="0"/>
  </r>
  <r>
    <s v="Wednesday"/>
    <d v="2026-04-01T00:00:00"/>
    <n v="-2"/>
    <d v="2026-04-02T00:00:00"/>
    <m/>
    <d v="2026-04-07T00:00:00"/>
    <n v="465.682373046875"/>
    <n v="252.91000366210901"/>
    <n v="659.219970703125"/>
    <n v="466.11218331465102"/>
    <n v="253.47999572753901"/>
    <n v="659.60998535156205"/>
    <n v="461.913952802724"/>
    <n v="249.52000427246"/>
    <n v="651.05999755859295"/>
    <n v="465.55242331367901"/>
    <n v="251.21000671386699"/>
    <n v="656.65002441406205"/>
    <n v="3943200"/>
    <n v="34881900"/>
    <n v="69980400"/>
    <n v="4.40074105848786E-4"/>
    <n v="-1.90671094095995E-3"/>
    <n v="2.17943830411937E-3"/>
    <n v="-3.4601069720020701E-3"/>
    <n v="-2.1852311601581898E-3"/>
    <n v="-4.5569578923087203E-3"/>
    <n v="2.7913018317257969E-4"/>
    <n v="3.913722978014283E-3"/>
    <n v="6.7672341977138917E-3"/>
    <s v="UP"/>
    <s v="UP"/>
    <s v="UP"/>
    <x v="1"/>
    <x v="1"/>
    <x v="0"/>
    <x v="0"/>
  </r>
  <r>
    <s v="Thursday"/>
    <d v="2026-04-02T00:00:00"/>
    <n v="0"/>
    <d v="2026-04-06T00:00:00"/>
    <m/>
    <d v="2026-04-08T00:00:00"/>
    <n v="478.95672607421801"/>
    <n v="260.47000122070301"/>
    <n v="676.010009765625"/>
    <n v="479.99629340863299"/>
    <n v="262.26998901367102"/>
    <n v="677.08001708984295"/>
    <n v="475.35824722788499"/>
    <n v="258.41000366210898"/>
    <n v="671.46002197265602"/>
    <n v="478.676846080872"/>
    <n v="261.51998901367102"/>
    <n v="676.39001464843705"/>
    <n v="4697500"/>
    <n v="46680200"/>
    <n v="93606100"/>
    <n v="2.5469554638327601E-2"/>
    <n v="2.85051653136279E-2"/>
    <n v="2.9892046376678701E-2"/>
    <n v="2.6046000892538002E-2"/>
    <n v="2.7904154819038799E-2"/>
    <n v="3.4043672558976897E-2"/>
    <n v="5.8469507275630596E-4"/>
    <n v="-5.618132653977129E-4"/>
    <n v="-4.0149427847869885E-3"/>
    <s v="UP"/>
    <s v="DOWN"/>
    <s v="DOWN"/>
    <x v="1"/>
    <x v="1"/>
    <x v="0"/>
    <x v="1"/>
  </r>
  <r>
    <s v="Friday"/>
    <d v="2026-04-03T00:00:00"/>
    <n v="-3"/>
    <d v="2026-04-06T00:00:00"/>
    <m/>
    <d v="2026-04-09T00:00:00"/>
    <n v="481.695556640625"/>
    <n v="261.95999145507801"/>
    <n v="679.90997314453102"/>
    <n v="483.06497056244802"/>
    <n v="262.89999389648398"/>
    <n v="681.15997314453102"/>
    <n v="476.807646996068"/>
    <n v="258.77999877929602"/>
    <n v="673.77001953125"/>
    <n v="477.28742384188598"/>
    <n v="258.77999877929602"/>
    <n v="674.84002685546795"/>
    <n v="4213700"/>
    <n v="26758400"/>
    <n v="57134400"/>
    <n v="5.7690911710883697E-3"/>
    <n v="5.71832572193975E-3"/>
    <n v="5.7203909371217297E-3"/>
    <n v="-1.7307183225909401E-3"/>
    <n v="-3.48528821385333E-3"/>
    <n v="-6.4882805447306199E-3"/>
    <n v="9.2358033724335639E-3"/>
    <n v="7.5128120551582371E-3"/>
    <n v="1.2288402082009778E-2"/>
    <s v="UP"/>
    <s v="UP"/>
    <s v="UP"/>
    <x v="1"/>
    <x v="1"/>
    <x v="0"/>
    <x v="0"/>
  </r>
  <r>
    <s v="Saturday"/>
    <d v="2026-04-04T00:00:00"/>
    <n v="0"/>
    <d v="2026-04-06T00:00:00"/>
    <m/>
    <d v="2026-04-10T00:00:00"/>
    <n v="479.04669189453102"/>
    <n v="261.29998779296801"/>
    <n v="679.46002197265602"/>
    <n v="482.19534949619799"/>
    <n v="262.75"/>
    <n v="682.030029296875"/>
    <n v="478.42695979253898"/>
    <n v="260.33999633789"/>
    <n v="678.45001220703102"/>
    <n v="481.99545264325701"/>
    <n v="262.39999389648398"/>
    <n v="681.32000732421795"/>
    <n v="2659000"/>
    <n v="22365900"/>
    <n v="42253500"/>
    <n v="-6.6178051454956999E-4"/>
    <n v="-5.4990433471445704E-3"/>
    <n v="-2.5194826829979498E-3"/>
    <n v="2.0738542386225002E-3"/>
    <n v="6.22584116663861E-4"/>
    <n v="1.67965512199867E-3"/>
    <n v="-6.1178186071155259E-3"/>
    <n v="-2.7299731867067062E-3"/>
    <n v="-4.1920965285918233E-3"/>
    <s v="DOWN"/>
    <s v="DOWN"/>
    <s v="DOWN"/>
    <x v="1"/>
    <x v="1"/>
    <x v="0"/>
    <x v="1"/>
  </r>
  <r>
    <s v="Monday"/>
    <d v="2026-04-06T00:00:00"/>
    <n v="-1"/>
    <d v="2026-04-07T00:00:00"/>
    <m/>
    <d v="2026-04-13T00:00:00"/>
    <n v="481.92547607421801"/>
    <n v="265.07000732421801"/>
    <n v="686.09997558593705"/>
    <n v="482.07540634041101"/>
    <n v="265.35998535156199"/>
    <n v="686.29998779296795"/>
    <n v="474.94842614261898"/>
    <n v="260.01998901367102"/>
    <n v="676.58001708984295"/>
    <n v="475.89803533622501"/>
    <n v="260.239990234375"/>
    <n v="677.40997314453102"/>
    <n v="3768700"/>
    <n v="23820000"/>
    <n v="54185800"/>
    <n v="9.7723977843517905E-3"/>
    <n v="6.0094020653864702E-3"/>
    <n v="1.44279361170005E-2"/>
    <n v="-3.0171735817114799E-3"/>
    <n v="-6.5727550395005404E-3"/>
    <n v="-4.0566307237396397E-3"/>
    <n v="1.2665403700888528E-2"/>
    <n v="1.282827650302683E-2"/>
    <n v="1.8559857328203266E-2"/>
    <s v="UP"/>
    <s v="UP"/>
    <s v="UP"/>
    <x v="1"/>
    <x v="1"/>
    <x v="0"/>
    <x v="0"/>
  </r>
  <r>
    <s v="Tuesday"/>
    <d v="2026-04-07T00:00:00"/>
    <n v="-2"/>
    <d v="2026-04-08T00:00:00"/>
    <m/>
    <d v="2026-04-14T00:00:00"/>
    <n v="485.28402709960898"/>
    <n v="268.72000122070301"/>
    <n v="694.46002197265602"/>
    <n v="485.76383444720199"/>
    <n v="269.42001342773398"/>
    <n v="694.58001708984295"/>
    <n v="481.65556220155401"/>
    <n v="266.27999877929602"/>
    <n v="687.65997314453102"/>
    <n v="482.20534717362301"/>
    <n v="267.08999633789"/>
    <n v="687.69000244140602"/>
    <n v="4217900"/>
    <n v="24270400"/>
    <n v="63480500"/>
    <n v="1.2184880752370101E-2"/>
    <n v="6.9690256940750902E-3"/>
    <n v="1.3769924154489001E-2"/>
    <n v="2.3174856610523099E-3"/>
    <n v="5.8073522421833203E-4"/>
    <n v="7.6205868557627397E-3"/>
    <n v="6.3845827177803063E-3"/>
    <n v="9.8445804173615762E-3"/>
    <n v="6.1028301514929311E-3"/>
    <s v="UP"/>
    <s v="UP"/>
    <s v="UP"/>
    <x v="1"/>
    <x v="0"/>
    <x v="1"/>
    <x v="0"/>
  </r>
  <r>
    <s v="Wednesday"/>
    <d v="2026-04-08T00:00:00"/>
    <n v="0"/>
    <d v="2026-04-09T00:00:00"/>
    <m/>
    <d v="2026-04-15T00:00:00"/>
    <n v="484.51437377929602"/>
    <n v="269.39001464843699"/>
    <n v="699.94000244140602"/>
    <n v="486.87335798019802"/>
    <n v="269.58999633789"/>
    <n v="700.280029296875"/>
    <n v="482.65514696425498"/>
    <n v="267.58999633789"/>
    <n v="694.20001220703102"/>
    <n v="486.30362296855702"/>
    <n v="268.77999877929602"/>
    <n v="695.260009765625"/>
    <n v="3474500"/>
    <n v="21670600"/>
    <n v="58240400"/>
    <n v="7.89099486703892E-3"/>
    <n v="-1.5859852732274999E-3"/>
    <n v="2.4933515357647902E-3"/>
    <n v="1.15195658159894E-3"/>
    <n v="2.1010291128715302E-3"/>
    <n v="2.2327165198422701E-4"/>
    <n v="-3.6792841030853008E-3"/>
    <n v="6.7312841383738832E-3"/>
    <n v="2.2695731524348651E-3"/>
    <s v="DOWN"/>
    <s v="UP"/>
    <s v="UP"/>
    <x v="1"/>
    <x v="1"/>
    <x v="0"/>
    <x v="1"/>
  </r>
  <r>
    <s v="Thursday"/>
    <d v="2026-04-09T00:00:00"/>
    <n v="-1"/>
    <d v="2026-04-10T00:00:00"/>
    <m/>
    <d v="2026-04-16T00:00:00"/>
    <n v="485.42401123046801"/>
    <n v="269.95001220703102"/>
    <n v="701.65997314453102"/>
    <n v="486.57351732463297"/>
    <n v="270.350006103515"/>
    <n v="702.780029296875"/>
    <n v="483.14497957690702"/>
    <n v="268.04998779296801"/>
    <n v="698.530029296875"/>
    <n v="485.61393307698398"/>
    <n v="269.45001220703102"/>
    <n v="701.05999755859295"/>
    <n v="4111500"/>
    <n v="30847900"/>
    <n v="49972400"/>
    <n v="2.4573116226043099E-3"/>
    <n v="1.8774209815006701E-3"/>
    <n v="2.078761379944E-3"/>
    <n v="1.6001301729875799E-3"/>
    <n v="2.26940490766315E-3"/>
    <n v="2.22716341851232E-4"/>
    <n v="-3.9109637014031853E-4"/>
    <n v="8.5581203895166455E-4"/>
    <n v="1.8556317585757861E-3"/>
    <s v="DOWN"/>
    <s v="UP"/>
    <s v="UP"/>
    <x v="0"/>
    <x v="0"/>
    <x v="1"/>
    <x v="0"/>
  </r>
  <r>
    <s v="Friday"/>
    <d v="2026-04-10T00:00:00"/>
    <n v="-3"/>
    <d v="2026-04-13T00:00:00"/>
    <m/>
    <d v="2026-04-17T00:00:00"/>
    <n v="494.22000122070301"/>
    <n v="275.77999877929602"/>
    <n v="710.14001464843705"/>
    <n v="497.04000854492102"/>
    <n v="277.63000488281199"/>
    <n v="712.39001464843705"/>
    <n v="490.35998535156199"/>
    <n v="273.11999511718699"/>
    <n v="705.760009765625"/>
    <n v="490.67001342773398"/>
    <n v="273.739990234375"/>
    <n v="706.14001464843705"/>
    <n v="10235600"/>
    <n v="46424100"/>
    <n v="70538900"/>
    <n v="1.2085685130224001E-2"/>
    <n v="1.8120220233725101E-2"/>
    <n v="2.15965412433263E-2"/>
    <n v="6.3849181589034796E-3"/>
    <n v="1.0807051311631399E-2"/>
    <n v="1.4039554939664601E-2"/>
    <n v="7.2349801206913929E-3"/>
    <n v="5.6645989704909487E-3"/>
    <n v="7.4523585069699748E-3"/>
    <s v="UP"/>
    <s v="UP"/>
    <s v="UP"/>
    <x v="1"/>
    <x v="1"/>
    <x v="0"/>
    <x v="0"/>
  </r>
  <r>
    <s v="Saturday"/>
    <d v="2026-04-11T00:00:00"/>
    <n v="-1"/>
    <d v="2026-04-13T00:00:00"/>
    <m/>
    <d v="2026-04-20T00:00:00"/>
    <n v="493.73001098632801"/>
    <n v="276.79998779296801"/>
    <n v="708.15002441406205"/>
    <n v="494.76998901367102"/>
    <n v="277.300689697265"/>
    <n v="709.90997314453102"/>
    <n v="492.30999755859301"/>
    <n v="274.52999877929602"/>
    <n v="706.14001464843705"/>
    <n v="493.45001220703102"/>
    <n v="274.64999389648398"/>
    <n v="708.780029296875"/>
    <n v="2846830"/>
    <n v="15307091"/>
    <n v="24990355"/>
    <n v="-2.8022505327490702E-3"/>
    <n v="-9.914415304211879E-4"/>
    <n v="3.6985605126793599E-3"/>
    <n v="-1.91509466233328E-3"/>
    <n v="-1.5579883690867099E-3"/>
    <n v="-4.0974867206262696E-3"/>
    <n v="5.6743088939171593E-4"/>
    <n v="-8.8885811785347998E-4"/>
    <n v="7.828122862782113E-3"/>
    <s v="UP"/>
    <s v="DOWN"/>
    <s v="UP"/>
    <x v="1"/>
    <x v="1"/>
    <x v="0"/>
    <x v="0"/>
  </r>
  <r>
    <s v="Sunday"/>
    <d v="2026-04-12T00:00:00"/>
    <n v="0"/>
    <d v="2026-04-13T00:00:00"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1"/>
  </r>
  <r>
    <s v="Monday"/>
    <d v="2026-04-13T00:00:00"/>
    <n v="0"/>
    <d v="2026-04-14T00:00:00"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1"/>
  </r>
  <r>
    <s v="Tuesday"/>
    <d v="2026-04-14T00:00:00"/>
    <n v="-4"/>
    <d v="2026-04-15T00:00:00"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1"/>
    <x v="0"/>
    <x v="0"/>
  </r>
  <r>
    <s v="Wednesday"/>
    <d v="2026-04-15T00:00:00"/>
    <n v="-4"/>
    <d v="2026-04-16T00:00:00"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1"/>
    <x v="0"/>
    <x v="0"/>
  </r>
  <r>
    <s v="Thursday"/>
    <d v="2026-04-16T00:00:00"/>
    <n v="0"/>
    <d v="2026-04-17T00:00:00"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1"/>
  </r>
  <r>
    <s v="Friday"/>
    <d v="2026-04-17T00:00:00"/>
    <n v="0"/>
    <d v="2026-04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0"/>
    <x v="0"/>
    <x v="1"/>
  </r>
  <r>
    <s v="Saturday"/>
    <d v="2026-04-18T00:00:00"/>
    <n v="0"/>
    <d v="2026-04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0"/>
    <x v="0"/>
    <x v="1"/>
  </r>
  <r>
    <s v="Sunday"/>
    <d v="2026-04-19T00:00:00"/>
    <n v="1"/>
    <d v="2026-04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0"/>
    <x v="0"/>
    <x v="2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x v="3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x v="3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m/>
    <x v="2"/>
    <x v="2"/>
    <x v="2"/>
    <x v="3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097E48-B2CD-4108-8207-7B2F9F34CBAE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K9" firstHeaderRow="1" firstDataRow="2" firstDataCol="1"/>
  <pivotFields count="3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4">
        <item x="0"/>
        <item x="1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</pivotFields>
  <rowFields count="1">
    <field x="36"/>
  </rowFields>
  <rowItems count="5">
    <i>
      <x/>
    </i>
    <i>
      <x v="1"/>
    </i>
    <i>
      <x v="2"/>
    </i>
    <i>
      <x v="3"/>
    </i>
    <i t="grand">
      <x/>
    </i>
  </rowItems>
  <colFields count="1">
    <field x="33"/>
  </colFields>
  <colItems count="4">
    <i>
      <x/>
    </i>
    <i>
      <x v="1"/>
    </i>
    <i>
      <x v="2"/>
    </i>
    <i t="grand">
      <x/>
    </i>
  </colItems>
  <dataFields count="1">
    <dataField name="Count of matched_DIA_result" fld="3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542C63-5ED0-4386-810A-C58AE8891DFB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3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4">
        <item x="0"/>
        <item x="1"/>
        <item x="2"/>
        <item t="default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</pivotFields>
  <rowFields count="1">
    <field x="36"/>
  </rowFields>
  <rowItems count="5">
    <i>
      <x/>
    </i>
    <i>
      <x v="1"/>
    </i>
    <i>
      <x v="2"/>
    </i>
    <i>
      <x v="3"/>
    </i>
    <i t="grand">
      <x/>
    </i>
  </rowItems>
  <colFields count="1">
    <field x="34"/>
  </colFields>
  <colItems count="4">
    <i>
      <x/>
    </i>
    <i>
      <x v="1"/>
    </i>
    <i>
      <x v="2"/>
    </i>
    <i t="grand">
      <x/>
    </i>
  </colItems>
  <dataFields count="1">
    <dataField name="Count of matched_SPY_result" fld="3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EF1747-26EC-4186-83C9-F475BAE0B47A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3:Q9" firstHeaderRow="1" firstDataRow="2" firstDataCol="1"/>
  <pivotFields count="3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axis="axisCol" dataField="1" showAll="0">
      <items count="4">
        <item x="1"/>
        <item x="0"/>
        <item x="2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1">
    <field x="36"/>
  </rowFields>
  <rowItems count="5">
    <i>
      <x/>
    </i>
    <i>
      <x v="1"/>
    </i>
    <i>
      <x v="2"/>
    </i>
    <i>
      <x v="3"/>
    </i>
    <i t="grand">
      <x/>
    </i>
  </rowItems>
  <colFields count="1">
    <field x="35"/>
  </colFields>
  <colItems count="4">
    <i>
      <x/>
    </i>
    <i>
      <x v="1"/>
    </i>
    <i>
      <x v="2"/>
    </i>
    <i t="grand">
      <x/>
    </i>
  </colItems>
  <dataFields count="1">
    <dataField name="Count of matched_IWM_result" fld="3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A5A02-5FDB-49B7-8928-97D2363CF150}">
  <dimension ref="A3:Q9"/>
  <sheetViews>
    <sheetView topLeftCell="A4" workbookViewId="0">
      <selection activeCell="B37" sqref="B37"/>
    </sheetView>
  </sheetViews>
  <sheetFormatPr defaultRowHeight="14.5" x14ac:dyDescent="0.35"/>
  <cols>
    <col min="1" max="1" width="26.08984375" bestFit="1" customWidth="1"/>
    <col min="2" max="2" width="15.26953125" bestFit="1" customWidth="1"/>
    <col min="3" max="3" width="3.1796875" bestFit="1" customWidth="1"/>
    <col min="4" max="4" width="6.7265625" bestFit="1" customWidth="1"/>
    <col min="5" max="5" width="10.7265625" bestFit="1" customWidth="1"/>
    <col min="7" max="7" width="26.08984375" bestFit="1" customWidth="1"/>
    <col min="8" max="8" width="15.26953125" bestFit="1" customWidth="1"/>
    <col min="9" max="9" width="3.1796875" bestFit="1" customWidth="1"/>
    <col min="10" max="10" width="6.7265625" bestFit="1" customWidth="1"/>
    <col min="11" max="11" width="10.7265625" bestFit="1" customWidth="1"/>
    <col min="13" max="13" width="27.1796875" bestFit="1" customWidth="1"/>
    <col min="14" max="14" width="15.26953125" bestFit="1" customWidth="1"/>
    <col min="15" max="15" width="3.1796875" bestFit="1" customWidth="1"/>
    <col min="16" max="16" width="6.7265625" bestFit="1" customWidth="1"/>
    <col min="17" max="17" width="10.7265625" bestFit="1" customWidth="1"/>
  </cols>
  <sheetData>
    <row r="3" spans="1:17" x14ac:dyDescent="0.35">
      <c r="A3" s="4" t="s">
        <v>54</v>
      </c>
      <c r="B3" s="4" t="s">
        <v>51</v>
      </c>
      <c r="G3" s="4" t="s">
        <v>55</v>
      </c>
      <c r="H3" s="4" t="s">
        <v>51</v>
      </c>
      <c r="M3" s="4" t="s">
        <v>56</v>
      </c>
      <c r="N3" s="4" t="s">
        <v>51</v>
      </c>
    </row>
    <row r="4" spans="1:17" x14ac:dyDescent="0.35">
      <c r="A4" s="4" t="s">
        <v>45</v>
      </c>
      <c r="B4" t="s">
        <v>52</v>
      </c>
      <c r="C4" t="s">
        <v>53</v>
      </c>
      <c r="D4" t="s">
        <v>49</v>
      </c>
      <c r="E4" t="s">
        <v>50</v>
      </c>
      <c r="G4" s="4" t="s">
        <v>45</v>
      </c>
      <c r="H4" t="s">
        <v>52</v>
      </c>
      <c r="I4" t="s">
        <v>53</v>
      </c>
      <c r="J4" t="s">
        <v>49</v>
      </c>
      <c r="K4" t="s">
        <v>50</v>
      </c>
      <c r="M4" s="4" t="s">
        <v>45</v>
      </c>
      <c r="N4" t="s">
        <v>52</v>
      </c>
      <c r="O4" t="s">
        <v>53</v>
      </c>
      <c r="P4" t="s">
        <v>49</v>
      </c>
      <c r="Q4" t="s">
        <v>50</v>
      </c>
    </row>
    <row r="5" spans="1:17" x14ac:dyDescent="0.35">
      <c r="A5" s="5" t="s">
        <v>46</v>
      </c>
      <c r="B5">
        <v>7</v>
      </c>
      <c r="C5">
        <v>10</v>
      </c>
      <c r="E5">
        <v>17</v>
      </c>
      <c r="G5" s="5" t="s">
        <v>46</v>
      </c>
      <c r="H5">
        <v>9</v>
      </c>
      <c r="I5">
        <v>8</v>
      </c>
      <c r="K5">
        <v>17</v>
      </c>
      <c r="M5" s="5" t="s">
        <v>46</v>
      </c>
      <c r="N5">
        <v>7</v>
      </c>
      <c r="O5">
        <v>10</v>
      </c>
      <c r="Q5">
        <v>17</v>
      </c>
    </row>
    <row r="6" spans="1:17" x14ac:dyDescent="0.35">
      <c r="A6" s="5" t="s">
        <v>47</v>
      </c>
      <c r="B6">
        <v>4</v>
      </c>
      <c r="C6">
        <v>6</v>
      </c>
      <c r="E6">
        <v>10</v>
      </c>
      <c r="G6" s="5" t="s">
        <v>47</v>
      </c>
      <c r="H6">
        <v>2</v>
      </c>
      <c r="I6">
        <v>8</v>
      </c>
      <c r="K6">
        <v>10</v>
      </c>
      <c r="M6" s="5" t="s">
        <v>47</v>
      </c>
      <c r="N6">
        <v>1</v>
      </c>
      <c r="O6">
        <v>9</v>
      </c>
      <c r="Q6">
        <v>10</v>
      </c>
    </row>
    <row r="7" spans="1:17" x14ac:dyDescent="0.35">
      <c r="A7" s="5" t="s">
        <v>48</v>
      </c>
      <c r="B7">
        <v>1</v>
      </c>
      <c r="E7">
        <v>1</v>
      </c>
      <c r="G7" s="5" t="s">
        <v>48</v>
      </c>
      <c r="I7">
        <v>1</v>
      </c>
      <c r="K7">
        <v>1</v>
      </c>
      <c r="M7" s="5" t="s">
        <v>48</v>
      </c>
      <c r="O7">
        <v>1</v>
      </c>
      <c r="Q7">
        <v>1</v>
      </c>
    </row>
    <row r="8" spans="1:17" x14ac:dyDescent="0.35">
      <c r="A8" s="5" t="s">
        <v>49</v>
      </c>
      <c r="G8" s="5" t="s">
        <v>49</v>
      </c>
      <c r="M8" s="5" t="s">
        <v>49</v>
      </c>
    </row>
    <row r="9" spans="1:17" x14ac:dyDescent="0.35">
      <c r="A9" s="5" t="s">
        <v>50</v>
      </c>
      <c r="B9">
        <v>12</v>
      </c>
      <c r="C9">
        <v>16</v>
      </c>
      <c r="E9">
        <v>28</v>
      </c>
      <c r="G9" s="5" t="s">
        <v>50</v>
      </c>
      <c r="H9">
        <v>11</v>
      </c>
      <c r="I9">
        <v>17</v>
      </c>
      <c r="K9">
        <v>28</v>
      </c>
      <c r="M9" s="5" t="s">
        <v>50</v>
      </c>
      <c r="N9">
        <v>8</v>
      </c>
      <c r="O9">
        <v>20</v>
      </c>
      <c r="Q9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2"/>
  <sheetViews>
    <sheetView tabSelected="1" topLeftCell="G1" zoomScale="85" zoomScaleNormal="85" workbookViewId="0">
      <selection activeCell="AD1" sqref="AD1"/>
    </sheetView>
  </sheetViews>
  <sheetFormatPr defaultColWidth="17.7265625" defaultRowHeight="14.5" x14ac:dyDescent="0.35"/>
  <cols>
    <col min="10" max="15" width="0" hidden="1" customWidth="1"/>
    <col min="19" max="27" width="0" hidden="1" customWidth="1"/>
  </cols>
  <sheetData>
    <row r="1" spans="1:37" x14ac:dyDescent="0.35">
      <c r="A1" t="s">
        <v>30</v>
      </c>
      <c r="B1" t="s">
        <v>31</v>
      </c>
      <c r="C1" t="s">
        <v>29</v>
      </c>
      <c r="D1" t="s">
        <v>39</v>
      </c>
      <c r="E1" t="s">
        <v>40</v>
      </c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32</v>
      </c>
      <c r="AC1" t="s">
        <v>33</v>
      </c>
      <c r="AD1" t="s">
        <v>34</v>
      </c>
      <c r="AE1" t="s">
        <v>35</v>
      </c>
      <c r="AF1" t="s">
        <v>36</v>
      </c>
      <c r="AG1" t="s">
        <v>37</v>
      </c>
      <c r="AH1" t="s">
        <v>41</v>
      </c>
      <c r="AI1" t="s">
        <v>42</v>
      </c>
      <c r="AJ1" t="s">
        <v>43</v>
      </c>
      <c r="AK1" t="s">
        <v>44</v>
      </c>
    </row>
    <row r="2" spans="1:37" x14ac:dyDescent="0.35">
      <c r="A2" t="s">
        <v>22</v>
      </c>
      <c r="B2" s="1">
        <v>46103</v>
      </c>
      <c r="C2">
        <v>-2</v>
      </c>
      <c r="D2" s="1">
        <f>WORKDAY(B2,1,$E$2:$E$10)</f>
        <v>46104</v>
      </c>
      <c r="E2" s="1">
        <v>46115</v>
      </c>
      <c r="F2" s="1">
        <v>46104</v>
      </c>
      <c r="G2">
        <v>461.77401733398398</v>
      </c>
      <c r="H2">
        <v>247.44999694824199</v>
      </c>
      <c r="I2">
        <v>655.38000488281205</v>
      </c>
      <c r="J2">
        <v>466.84187378317102</v>
      </c>
      <c r="K2">
        <v>251.36000061035099</v>
      </c>
      <c r="L2">
        <v>662.61999511718705</v>
      </c>
      <c r="M2">
        <v>460.72447498268502</v>
      </c>
      <c r="N2">
        <v>246.11000061035099</v>
      </c>
      <c r="O2">
        <v>653.94000244140602</v>
      </c>
      <c r="P2">
        <v>463.10343967927201</v>
      </c>
      <c r="Q2">
        <v>247.169998168945</v>
      </c>
      <c r="R2">
        <v>658.07000732421795</v>
      </c>
      <c r="S2">
        <v>9978100</v>
      </c>
      <c r="T2">
        <v>78746600</v>
      </c>
      <c r="U2">
        <v>134802700</v>
      </c>
      <c r="V2">
        <v>1.05000192449378E-2</v>
      </c>
      <c r="W2">
        <v>1.33364880228836E-2</v>
      </c>
      <c r="X2">
        <v>2.1591923462892001E-2</v>
      </c>
      <c r="Y2">
        <v>1.4647609190554099E-2</v>
      </c>
      <c r="Z2">
        <v>1.6253828799765301E-2</v>
      </c>
      <c r="AA2">
        <v>2.0435954600346602E-2</v>
      </c>
      <c r="AB2" s="3">
        <f>(G2-P2)/P2</f>
        <v>-2.8706812158612884E-3</v>
      </c>
      <c r="AC2" s="3">
        <f>(I2-R2)/R2</f>
        <v>-4.087714698233616E-3</v>
      </c>
      <c r="AD2" s="3">
        <f>(H2-Q2)/Q2</f>
        <v>1.1328186324037785E-3</v>
      </c>
      <c r="AE2" t="str">
        <f>IF(AB2&gt;0,"UP",IF(AB2&lt;0,"DOWN","FLAT"))</f>
        <v>DOWN</v>
      </c>
      <c r="AF2" t="str">
        <f>IF(AC2&gt;0,"UP",IF(AC2&lt;0,"DOWN","FLAT"))</f>
        <v>DOWN</v>
      </c>
      <c r="AG2" t="str">
        <f>IF(AD2&gt;0,"UP",IF(AD2&lt;0,"DOWN","FLAT"))</f>
        <v>UP</v>
      </c>
      <c r="AH2" t="str">
        <f>_xlfn.XLOOKUP(D2,$F:$F,$AE:$AE,"")</f>
        <v>DOWN</v>
      </c>
      <c r="AI2" t="str">
        <f>_xlfn.XLOOKUP(D2,$F:$F,$AF:$AF,"")</f>
        <v>DOWN</v>
      </c>
      <c r="AJ2" t="str">
        <f>_xlfn.XLOOKUP(D2,$F:$F,$AG:$AG,"")</f>
        <v>UP</v>
      </c>
      <c r="AK2" t="str">
        <f>IF(C2&gt;0,"Positive",IF(C2&lt;0,"Negative","Neutral"))</f>
        <v>Negative</v>
      </c>
    </row>
    <row r="3" spans="1:37" x14ac:dyDescent="0.35">
      <c r="A3" t="s">
        <v>23</v>
      </c>
      <c r="B3" s="1">
        <v>46104</v>
      </c>
      <c r="C3">
        <v>-2</v>
      </c>
      <c r="D3" s="1">
        <f t="shared" ref="D3:D29" si="0">WORKDAY(B3,1,$E$2:$E$10)</f>
        <v>46105</v>
      </c>
      <c r="E3" s="1"/>
      <c r="F3" s="1">
        <v>46105</v>
      </c>
      <c r="G3">
        <v>460.97439575195301</v>
      </c>
      <c r="H3">
        <v>248.77999877929599</v>
      </c>
      <c r="I3">
        <v>653.17999267578102</v>
      </c>
      <c r="J3">
        <v>463.74320980021702</v>
      </c>
      <c r="K3">
        <v>250.16000366210901</v>
      </c>
      <c r="L3">
        <v>657.030029296875</v>
      </c>
      <c r="M3">
        <v>457.245966950195</v>
      </c>
      <c r="N3">
        <v>244.600006103515</v>
      </c>
      <c r="O3">
        <v>649.88000488281205</v>
      </c>
      <c r="P3">
        <v>458.22556223848198</v>
      </c>
      <c r="Q3">
        <v>245.509994506835</v>
      </c>
      <c r="R3">
        <v>651.32000732421795</v>
      </c>
      <c r="S3">
        <v>8188000</v>
      </c>
      <c r="T3">
        <v>45210800</v>
      </c>
      <c r="U3">
        <v>96457500</v>
      </c>
      <c r="V3">
        <v>-3.3568497522664599E-3</v>
      </c>
      <c r="W3">
        <v>-1.7316296543660101E-3</v>
      </c>
      <c r="X3">
        <v>5.3748306625878099E-3</v>
      </c>
      <c r="Y3">
        <v>-6.1948755353311499E-3</v>
      </c>
      <c r="Z3">
        <v>-7.6843974808038298E-3</v>
      </c>
      <c r="AA3">
        <v>-7.8399776331863503E-3</v>
      </c>
      <c r="AB3" s="3">
        <f t="shared" ref="AB3:AB21" si="1">(G3-P3)/P3</f>
        <v>5.9988654933231453E-3</v>
      </c>
      <c r="AC3" s="3">
        <f t="shared" ref="AC3:AC21" si="2">(I3-R3)/R3</f>
        <v>2.8557165919166887E-3</v>
      </c>
      <c r="AD3" s="3">
        <f t="shared" ref="AD3:AD21" si="3">(H3-Q3)/Q3</f>
        <v>1.3319230767079656E-2</v>
      </c>
      <c r="AE3" t="str">
        <f t="shared" ref="AE3:AE21" si="4">IF(AB3&gt;0,"UP",IF(AB3&lt;0,"DOWN","FLAT"))</f>
        <v>UP</v>
      </c>
      <c r="AF3" t="str">
        <f t="shared" ref="AF3:AF21" si="5">IF(AC3&gt;0,"UP",IF(AC3&lt;0,"DOWN","FLAT"))</f>
        <v>UP</v>
      </c>
      <c r="AG3" t="str">
        <f t="shared" ref="AG3:AG21" si="6">IF(AD3&gt;0,"UP",IF(AD3&lt;0,"DOWN","FLAT"))</f>
        <v>UP</v>
      </c>
      <c r="AH3" t="str">
        <f t="shared" ref="AH3:AH29" si="7">_xlfn.XLOOKUP(D3,$F:$F,$AE:$AE,"")</f>
        <v>UP</v>
      </c>
      <c r="AI3" t="str">
        <f t="shared" ref="AI3:AI29" si="8">_xlfn.XLOOKUP(D3,$F:$F,$AF:$AF,"")</f>
        <v>UP</v>
      </c>
      <c r="AJ3" t="str">
        <f t="shared" ref="AJ3:AJ29" si="9">_xlfn.XLOOKUP(D3,$F:$F,$AG:$AG,"")</f>
        <v>UP</v>
      </c>
      <c r="AK3" t="str">
        <f t="shared" ref="AK3:AK29" si="10">IF(C3&gt;0,"Positive",IF(C3&lt;0,"Negative","Neutral"))</f>
        <v>Negative</v>
      </c>
    </row>
    <row r="4" spans="1:37" x14ac:dyDescent="0.35">
      <c r="A4" t="s">
        <v>24</v>
      </c>
      <c r="B4" s="1">
        <v>46105</v>
      </c>
      <c r="C4">
        <v>0</v>
      </c>
      <c r="D4" s="1">
        <f t="shared" si="0"/>
        <v>46106</v>
      </c>
      <c r="E4" s="1"/>
      <c r="F4" s="1">
        <v>46106</v>
      </c>
      <c r="G4">
        <v>463.943115234375</v>
      </c>
      <c r="H4">
        <v>251.82000732421801</v>
      </c>
      <c r="I4">
        <v>656.82000732421795</v>
      </c>
      <c r="J4">
        <v>467.04177573573099</v>
      </c>
      <c r="K4">
        <v>253.07000732421801</v>
      </c>
      <c r="L4">
        <v>660.89001464843705</v>
      </c>
      <c r="M4">
        <v>461.60408107486398</v>
      </c>
      <c r="N4">
        <v>249.52000427246</v>
      </c>
      <c r="O4">
        <v>654.239990234375</v>
      </c>
      <c r="P4">
        <v>465.53243705738299</v>
      </c>
      <c r="Q4">
        <v>251.74000549316401</v>
      </c>
      <c r="R4">
        <v>658.66998291015602</v>
      </c>
      <c r="S4">
        <v>7019700</v>
      </c>
      <c r="T4">
        <v>45671700</v>
      </c>
      <c r="U4">
        <v>90653800</v>
      </c>
      <c r="V4">
        <v>5.5727589473859498E-3</v>
      </c>
      <c r="W4">
        <v>6.4400962608328598E-3</v>
      </c>
      <c r="X4">
        <v>1.22196662104607E-2</v>
      </c>
      <c r="Y4">
        <v>8.4050189778241795E-3</v>
      </c>
      <c r="Z4">
        <v>9.8878405122590999E-3</v>
      </c>
      <c r="AA4">
        <v>1.18980895907678E-2</v>
      </c>
      <c r="AB4" s="3">
        <f t="shared" si="1"/>
        <v>-3.4139872895947907E-3</v>
      </c>
      <c r="AC4" s="3">
        <f t="shared" si="2"/>
        <v>-2.8086532465992292E-3</v>
      </c>
      <c r="AD4" s="3">
        <f t="shared" si="3"/>
        <v>3.1779546082586315E-4</v>
      </c>
      <c r="AE4" t="str">
        <f t="shared" si="4"/>
        <v>DOWN</v>
      </c>
      <c r="AF4" t="str">
        <f t="shared" si="5"/>
        <v>DOWN</v>
      </c>
      <c r="AG4" t="str">
        <f t="shared" si="6"/>
        <v>UP</v>
      </c>
      <c r="AH4" t="str">
        <f t="shared" si="7"/>
        <v>DOWN</v>
      </c>
      <c r="AI4" t="str">
        <f t="shared" si="8"/>
        <v>DOWN</v>
      </c>
      <c r="AJ4" t="str">
        <f t="shared" si="9"/>
        <v>UP</v>
      </c>
      <c r="AK4" t="str">
        <f t="shared" si="10"/>
        <v>Neutral</v>
      </c>
    </row>
    <row r="5" spans="1:37" x14ac:dyDescent="0.35">
      <c r="A5" t="s">
        <v>25</v>
      </c>
      <c r="B5" s="1">
        <v>46106</v>
      </c>
      <c r="C5">
        <v>-5</v>
      </c>
      <c r="D5" s="1">
        <f t="shared" si="0"/>
        <v>46107</v>
      </c>
      <c r="E5" s="1"/>
      <c r="F5" s="1">
        <v>46107</v>
      </c>
      <c r="G5">
        <v>459.115142822265</v>
      </c>
      <c r="H5">
        <v>247.44000244140599</v>
      </c>
      <c r="I5">
        <v>645.09002685546795</v>
      </c>
      <c r="J5">
        <v>465.232541631858</v>
      </c>
      <c r="K5">
        <v>251.86000061035099</v>
      </c>
      <c r="L5">
        <v>654.84997558593705</v>
      </c>
      <c r="M5">
        <v>458.74530466943997</v>
      </c>
      <c r="N5">
        <v>247.16000366210901</v>
      </c>
      <c r="O5">
        <v>644.82000732421795</v>
      </c>
      <c r="P5">
        <v>461.34420776299203</v>
      </c>
      <c r="Q5">
        <v>248.88999938964801</v>
      </c>
      <c r="R5">
        <v>652.05999755859295</v>
      </c>
      <c r="S5">
        <v>8284000</v>
      </c>
      <c r="T5">
        <v>46830200</v>
      </c>
      <c r="U5">
        <v>96494400</v>
      </c>
      <c r="V5">
        <v>-1.7858744158138699E-2</v>
      </c>
      <c r="W5">
        <v>-1.0406388743737199E-2</v>
      </c>
      <c r="X5">
        <v>-1.73933951053112E-2</v>
      </c>
      <c r="Y5">
        <v>-7.2470535497487802E-3</v>
      </c>
      <c r="Z5">
        <v>-5.6017804468754401E-3</v>
      </c>
      <c r="AA5">
        <v>-1.16353262225027E-2</v>
      </c>
      <c r="AB5" s="3">
        <f t="shared" si="1"/>
        <v>-4.8316742753431799E-3</v>
      </c>
      <c r="AC5" s="3">
        <f t="shared" si="2"/>
        <v>-1.0689155490632119E-2</v>
      </c>
      <c r="AD5" s="3">
        <f t="shared" si="3"/>
        <v>-5.82585460162256E-3</v>
      </c>
      <c r="AE5" t="str">
        <f t="shared" si="4"/>
        <v>DOWN</v>
      </c>
      <c r="AF5" t="str">
        <f t="shared" si="5"/>
        <v>DOWN</v>
      </c>
      <c r="AG5" t="str">
        <f t="shared" si="6"/>
        <v>DOWN</v>
      </c>
      <c r="AH5" t="str">
        <f t="shared" si="7"/>
        <v>DOWN</v>
      </c>
      <c r="AI5" t="str">
        <f t="shared" si="8"/>
        <v>DOWN</v>
      </c>
      <c r="AJ5" t="str">
        <f t="shared" si="9"/>
        <v>DOWN</v>
      </c>
      <c r="AK5" t="str">
        <f t="shared" si="10"/>
        <v>Negative</v>
      </c>
    </row>
    <row r="6" spans="1:37" x14ac:dyDescent="0.35">
      <c r="A6" t="s">
        <v>26</v>
      </c>
      <c r="B6" s="1">
        <v>46107</v>
      </c>
      <c r="C6">
        <v>-3</v>
      </c>
      <c r="D6" s="1">
        <f t="shared" si="0"/>
        <v>46108</v>
      </c>
      <c r="E6" s="1"/>
      <c r="F6" s="1">
        <v>46108</v>
      </c>
      <c r="G6">
        <v>451.19854736328102</v>
      </c>
      <c r="H6">
        <v>243.100006103515</v>
      </c>
      <c r="I6">
        <v>634.09002685546795</v>
      </c>
      <c r="J6">
        <v>457.30594102634899</v>
      </c>
      <c r="K6">
        <v>246.74000549316401</v>
      </c>
      <c r="L6">
        <v>642.65997314453102</v>
      </c>
      <c r="M6">
        <v>450.29890471493201</v>
      </c>
      <c r="N6">
        <v>242.41000366210901</v>
      </c>
      <c r="O6">
        <v>633.10998535156205</v>
      </c>
      <c r="P6">
        <v>457.16598576829102</v>
      </c>
      <c r="Q6">
        <v>246.009994506835</v>
      </c>
      <c r="R6">
        <v>642.5</v>
      </c>
      <c r="S6">
        <v>6938500</v>
      </c>
      <c r="T6">
        <v>48114400</v>
      </c>
      <c r="U6">
        <v>103649400</v>
      </c>
      <c r="V6">
        <v>-1.7051883523327899E-2</v>
      </c>
      <c r="W6">
        <v>-1.7243159113244699E-2</v>
      </c>
      <c r="X6">
        <v>-1.7539590587897499E-2</v>
      </c>
      <c r="Y6">
        <v>-4.01498511470406E-3</v>
      </c>
      <c r="Z6">
        <v>-4.24546452986071E-3</v>
      </c>
      <c r="AA6">
        <v>-5.7792108004401498E-3</v>
      </c>
      <c r="AB6" s="3">
        <f t="shared" si="1"/>
        <v>-1.3053111103577429E-2</v>
      </c>
      <c r="AC6" s="3">
        <f t="shared" si="2"/>
        <v>-1.3089452365030422E-2</v>
      </c>
      <c r="AD6" s="3">
        <f t="shared" si="3"/>
        <v>-1.182874057272966E-2</v>
      </c>
      <c r="AE6" t="str">
        <f t="shared" si="4"/>
        <v>DOWN</v>
      </c>
      <c r="AF6" t="str">
        <f t="shared" si="5"/>
        <v>DOWN</v>
      </c>
      <c r="AG6" t="str">
        <f t="shared" si="6"/>
        <v>DOWN</v>
      </c>
      <c r="AH6" t="str">
        <f t="shared" si="7"/>
        <v>DOWN</v>
      </c>
      <c r="AI6" t="str">
        <f t="shared" si="8"/>
        <v>DOWN</v>
      </c>
      <c r="AJ6" t="str">
        <f t="shared" si="9"/>
        <v>DOWN</v>
      </c>
      <c r="AK6" t="str">
        <f t="shared" si="10"/>
        <v>Negative</v>
      </c>
    </row>
    <row r="7" spans="1:37" x14ac:dyDescent="0.35">
      <c r="A7" t="s">
        <v>27</v>
      </c>
      <c r="B7" s="1">
        <v>46108</v>
      </c>
      <c r="C7">
        <v>-6</v>
      </c>
      <c r="D7" s="1">
        <f t="shared" si="0"/>
        <v>46111</v>
      </c>
      <c r="E7" s="1"/>
      <c r="F7" s="1">
        <v>46111</v>
      </c>
      <c r="G7">
        <v>451.86822509765602</v>
      </c>
      <c r="H7">
        <v>239.61000061035099</v>
      </c>
      <c r="I7">
        <v>631.969970703125</v>
      </c>
      <c r="J7">
        <v>455.92650032795802</v>
      </c>
      <c r="K7">
        <v>245.36999511718699</v>
      </c>
      <c r="L7">
        <v>640.36999511718705</v>
      </c>
      <c r="M7">
        <v>450.24891721325201</v>
      </c>
      <c r="N7">
        <v>238.69000244140599</v>
      </c>
      <c r="O7">
        <v>629.280029296875</v>
      </c>
      <c r="P7">
        <v>455.40673190352999</v>
      </c>
      <c r="Q7">
        <v>245.350006103515</v>
      </c>
      <c r="R7">
        <v>640.10998535156205</v>
      </c>
      <c r="S7">
        <v>9181600</v>
      </c>
      <c r="T7">
        <v>51290500</v>
      </c>
      <c r="U7">
        <v>99275900</v>
      </c>
      <c r="V7">
        <v>-3.3434623831846101E-3</v>
      </c>
      <c r="W7">
        <v>1.4842196152635701E-3</v>
      </c>
      <c r="X7">
        <v>-1.43562542391626E-2</v>
      </c>
      <c r="Y7">
        <v>9.4938545650173206E-3</v>
      </c>
      <c r="Z7">
        <v>9.3266801607421491E-3</v>
      </c>
      <c r="AA7">
        <v>9.2554501995442805E-3</v>
      </c>
      <c r="AB7" s="3">
        <f t="shared" si="1"/>
        <v>-7.7699923123304556E-3</v>
      </c>
      <c r="AC7" s="3">
        <f t="shared" si="2"/>
        <v>-1.271658751576321E-2</v>
      </c>
      <c r="AD7" s="3">
        <f t="shared" si="3"/>
        <v>-2.3395171593116874E-2</v>
      </c>
      <c r="AE7" t="str">
        <f t="shared" si="4"/>
        <v>DOWN</v>
      </c>
      <c r="AF7" t="str">
        <f t="shared" si="5"/>
        <v>DOWN</v>
      </c>
      <c r="AG7" t="str">
        <f t="shared" si="6"/>
        <v>DOWN</v>
      </c>
      <c r="AH7" t="str">
        <f t="shared" si="7"/>
        <v>DOWN</v>
      </c>
      <c r="AI7" t="str">
        <f t="shared" si="8"/>
        <v>DOWN</v>
      </c>
      <c r="AJ7" t="str">
        <f t="shared" si="9"/>
        <v>DOWN</v>
      </c>
      <c r="AK7" t="str">
        <f t="shared" si="10"/>
        <v>Negative</v>
      </c>
    </row>
    <row r="8" spans="1:37" x14ac:dyDescent="0.35">
      <c r="A8" t="s">
        <v>28</v>
      </c>
      <c r="B8" s="1">
        <v>46109</v>
      </c>
      <c r="C8">
        <v>-1</v>
      </c>
      <c r="D8" s="1">
        <f t="shared" si="0"/>
        <v>46111</v>
      </c>
      <c r="E8" s="1"/>
      <c r="F8" s="1">
        <v>46112</v>
      </c>
      <c r="G8">
        <v>462.99349975585898</v>
      </c>
      <c r="H8">
        <v>248</v>
      </c>
      <c r="I8">
        <v>650.34002685546795</v>
      </c>
      <c r="J8">
        <v>463.623237366816</v>
      </c>
      <c r="K8">
        <v>248.919998168945</v>
      </c>
      <c r="L8">
        <v>651.53997802734295</v>
      </c>
      <c r="M8">
        <v>454.47712524317598</v>
      </c>
      <c r="N8">
        <v>242.24000549316401</v>
      </c>
      <c r="O8">
        <v>637.97998046875</v>
      </c>
      <c r="P8">
        <v>456.61620151197798</v>
      </c>
      <c r="Q8">
        <v>243.03999328613199</v>
      </c>
      <c r="R8">
        <v>638.94000244140602</v>
      </c>
      <c r="S8">
        <v>11656300</v>
      </c>
      <c r="T8">
        <v>58660800</v>
      </c>
      <c r="U8">
        <v>152534100</v>
      </c>
      <c r="V8">
        <v>2.9067925698914799E-2</v>
      </c>
      <c r="W8">
        <v>2.46206173399308E-2</v>
      </c>
      <c r="X8">
        <v>3.5015230450635697E-2</v>
      </c>
      <c r="Y8">
        <v>1.10290552738232E-2</v>
      </c>
      <c r="Z8">
        <v>1.0507435908546E-2</v>
      </c>
      <c r="AA8">
        <v>1.4314897821643999E-2</v>
      </c>
      <c r="AB8" s="3">
        <f t="shared" si="1"/>
        <v>1.3966430062630424E-2</v>
      </c>
      <c r="AC8" s="3">
        <f t="shared" si="2"/>
        <v>1.7842089038880252E-2</v>
      </c>
      <c r="AD8" s="3">
        <f t="shared" si="3"/>
        <v>2.0408191453612227E-2</v>
      </c>
      <c r="AE8" t="str">
        <f t="shared" si="4"/>
        <v>UP</v>
      </c>
      <c r="AF8" t="str">
        <f t="shared" si="5"/>
        <v>UP</v>
      </c>
      <c r="AG8" t="str">
        <f t="shared" si="6"/>
        <v>UP</v>
      </c>
      <c r="AH8" t="str">
        <f t="shared" si="7"/>
        <v>DOWN</v>
      </c>
      <c r="AI8" t="str">
        <f t="shared" si="8"/>
        <v>DOWN</v>
      </c>
      <c r="AJ8" t="str">
        <f t="shared" si="9"/>
        <v>DOWN</v>
      </c>
      <c r="AK8" t="str">
        <f t="shared" si="10"/>
        <v>Negative</v>
      </c>
    </row>
    <row r="9" spans="1:37" x14ac:dyDescent="0.35">
      <c r="A9" t="s">
        <v>22</v>
      </c>
      <c r="B9" s="1">
        <v>46110</v>
      </c>
      <c r="C9">
        <v>0</v>
      </c>
      <c r="D9" s="1">
        <f t="shared" si="0"/>
        <v>46111</v>
      </c>
      <c r="E9" s="1"/>
      <c r="F9" s="1">
        <v>46113</v>
      </c>
      <c r="G9">
        <v>465.28256225585898</v>
      </c>
      <c r="H9">
        <v>249.55999755859301</v>
      </c>
      <c r="I9">
        <v>655.239990234375</v>
      </c>
      <c r="J9">
        <v>467.70151865028498</v>
      </c>
      <c r="K9">
        <v>252.44000244140599</v>
      </c>
      <c r="L9">
        <v>658.52001953125</v>
      </c>
      <c r="M9">
        <v>464.30296697357898</v>
      </c>
      <c r="N9">
        <v>249.11000061035099</v>
      </c>
      <c r="O9">
        <v>653</v>
      </c>
      <c r="P9">
        <v>465.80233069900498</v>
      </c>
      <c r="Q9">
        <v>249.919998168945</v>
      </c>
      <c r="R9">
        <v>653.90002441406205</v>
      </c>
      <c r="S9">
        <v>7790300</v>
      </c>
      <c r="T9">
        <v>51295900</v>
      </c>
      <c r="U9">
        <v>97841500</v>
      </c>
      <c r="V9">
        <v>7.5344637828900201E-3</v>
      </c>
      <c r="W9">
        <v>4.9440488931422602E-3</v>
      </c>
      <c r="X9">
        <v>6.2903127362650101E-3</v>
      </c>
      <c r="Y9">
        <v>5.4740557425122498E-3</v>
      </c>
      <c r="Z9">
        <v>6.0666746825333902E-3</v>
      </c>
      <c r="AA9">
        <v>7.7419281005859297E-3</v>
      </c>
      <c r="AB9" s="3">
        <f t="shared" si="1"/>
        <v>-1.1158562525138444E-3</v>
      </c>
      <c r="AC9" s="3">
        <f t="shared" si="2"/>
        <v>2.0491906564977626E-3</v>
      </c>
      <c r="AD9" s="3">
        <f t="shared" si="3"/>
        <v>-1.440463400246305E-3</v>
      </c>
      <c r="AE9" t="str">
        <f t="shared" si="4"/>
        <v>DOWN</v>
      </c>
      <c r="AF9" t="str">
        <f t="shared" si="5"/>
        <v>UP</v>
      </c>
      <c r="AG9" t="str">
        <f t="shared" si="6"/>
        <v>DOWN</v>
      </c>
      <c r="AH9" t="str">
        <f t="shared" si="7"/>
        <v>DOWN</v>
      </c>
      <c r="AI9" t="str">
        <f t="shared" si="8"/>
        <v>DOWN</v>
      </c>
      <c r="AJ9" t="str">
        <f t="shared" si="9"/>
        <v>DOWN</v>
      </c>
      <c r="AK9" t="str">
        <f t="shared" si="10"/>
        <v>Neutral</v>
      </c>
    </row>
    <row r="10" spans="1:37" x14ac:dyDescent="0.35">
      <c r="A10" t="s">
        <v>23</v>
      </c>
      <c r="B10" s="1">
        <v>46111</v>
      </c>
      <c r="C10">
        <v>-4</v>
      </c>
      <c r="D10" s="1">
        <f t="shared" si="0"/>
        <v>46112</v>
      </c>
      <c r="E10" s="1"/>
      <c r="F10" s="1">
        <v>46114</v>
      </c>
      <c r="G10">
        <v>464.862701416015</v>
      </c>
      <c r="H10">
        <v>251.28999328613199</v>
      </c>
      <c r="I10">
        <v>655.83001708984295</v>
      </c>
      <c r="J10">
        <v>467.32164924913599</v>
      </c>
      <c r="K10">
        <v>252.36999511718699</v>
      </c>
      <c r="L10">
        <v>658.20001220703102</v>
      </c>
      <c r="M10">
        <v>458.68533052822397</v>
      </c>
      <c r="N10">
        <v>244.86999511718699</v>
      </c>
      <c r="O10">
        <v>645.10998535156205</v>
      </c>
      <c r="P10">
        <v>459.96478628334501</v>
      </c>
      <c r="Q10">
        <v>244.94000244140599</v>
      </c>
      <c r="R10">
        <v>646.41998291015602</v>
      </c>
      <c r="S10">
        <v>3955900</v>
      </c>
      <c r="T10">
        <v>30369200</v>
      </c>
      <c r="U10">
        <v>68358700</v>
      </c>
      <c r="V10">
        <v>9.0047442809115797E-4</v>
      </c>
      <c r="W10">
        <v>-9.0237819747229699E-4</v>
      </c>
      <c r="X10">
        <v>6.9321836210263204E-3</v>
      </c>
      <c r="Y10">
        <v>-1.3460728062497899E-2</v>
      </c>
      <c r="Z10">
        <v>-1.1429132324949499E-2</v>
      </c>
      <c r="AA10">
        <v>-1.85125627599943E-2</v>
      </c>
      <c r="AB10" s="3">
        <f t="shared" si="1"/>
        <v>1.0648456748714686E-2</v>
      </c>
      <c r="AC10" s="3">
        <f t="shared" si="2"/>
        <v>1.4557152359868807E-2</v>
      </c>
      <c r="AD10" s="3">
        <f t="shared" si="3"/>
        <v>2.5924678621022816E-2</v>
      </c>
      <c r="AE10" t="str">
        <f t="shared" si="4"/>
        <v>UP</v>
      </c>
      <c r="AF10" t="str">
        <f t="shared" si="5"/>
        <v>UP</v>
      </c>
      <c r="AG10" t="str">
        <f t="shared" si="6"/>
        <v>UP</v>
      </c>
      <c r="AH10" t="str">
        <f t="shared" si="7"/>
        <v>UP</v>
      </c>
      <c r="AI10" t="str">
        <f t="shared" si="8"/>
        <v>UP</v>
      </c>
      <c r="AJ10" t="str">
        <f t="shared" si="9"/>
        <v>UP</v>
      </c>
      <c r="AK10" t="str">
        <f t="shared" si="10"/>
        <v>Negative</v>
      </c>
    </row>
    <row r="11" spans="1:37" x14ac:dyDescent="0.35">
      <c r="A11" t="s">
        <v>24</v>
      </c>
      <c r="B11" s="1">
        <v>46112</v>
      </c>
      <c r="C11">
        <v>-13</v>
      </c>
      <c r="D11" s="1">
        <f t="shared" si="0"/>
        <v>46113</v>
      </c>
      <c r="E11" s="1"/>
      <c r="F11" s="1">
        <v>46118</v>
      </c>
      <c r="G11">
        <v>466.57199096679602</v>
      </c>
      <c r="H11">
        <v>252.36000061035099</v>
      </c>
      <c r="I11">
        <v>658.92999267578102</v>
      </c>
      <c r="J11">
        <v>466.82188491989302</v>
      </c>
      <c r="K11">
        <v>253.05000305175699</v>
      </c>
      <c r="L11">
        <v>659.719970703125</v>
      </c>
      <c r="M11">
        <v>463.263397468162</v>
      </c>
      <c r="N11">
        <v>250.25</v>
      </c>
      <c r="O11">
        <v>655.52001953125</v>
      </c>
      <c r="P11">
        <v>463.96311273868702</v>
      </c>
      <c r="Q11">
        <v>250.99000549316401</v>
      </c>
      <c r="R11">
        <v>655.85998535156205</v>
      </c>
      <c r="S11">
        <v>2905300</v>
      </c>
      <c r="T11">
        <v>22151400</v>
      </c>
      <c r="U11">
        <v>39105800</v>
      </c>
      <c r="V11">
        <v>4.7267973486380104E-3</v>
      </c>
      <c r="W11">
        <v>3.6769771925657599E-3</v>
      </c>
      <c r="X11">
        <v>4.2580578328097404E-3</v>
      </c>
      <c r="Y11" s="2">
        <v>4.5695166335523997E-5</v>
      </c>
      <c r="Z11">
        <v>-1.93517069575174E-3</v>
      </c>
      <c r="AA11">
        <v>-1.1937912411305799E-3</v>
      </c>
      <c r="AB11" s="3">
        <f t="shared" si="1"/>
        <v>5.6230294100522099E-3</v>
      </c>
      <c r="AC11" s="3">
        <f t="shared" si="2"/>
        <v>4.6808882883339117E-3</v>
      </c>
      <c r="AD11" s="3">
        <f t="shared" si="3"/>
        <v>5.4583652225319457E-3</v>
      </c>
      <c r="AE11" t="str">
        <f t="shared" si="4"/>
        <v>UP</v>
      </c>
      <c r="AF11" t="str">
        <f t="shared" si="5"/>
        <v>UP</v>
      </c>
      <c r="AG11" t="str">
        <f t="shared" si="6"/>
        <v>UP</v>
      </c>
      <c r="AH11" t="str">
        <f t="shared" si="7"/>
        <v>DOWN</v>
      </c>
      <c r="AI11" t="str">
        <f t="shared" si="8"/>
        <v>UP</v>
      </c>
      <c r="AJ11" t="str">
        <f t="shared" si="9"/>
        <v>DOWN</v>
      </c>
      <c r="AK11" t="str">
        <f t="shared" si="10"/>
        <v>Negative</v>
      </c>
    </row>
    <row r="12" spans="1:37" x14ac:dyDescent="0.35">
      <c r="A12" t="s">
        <v>25</v>
      </c>
      <c r="B12" s="1">
        <v>46113</v>
      </c>
      <c r="C12">
        <v>-2</v>
      </c>
      <c r="D12" s="1">
        <f t="shared" si="0"/>
        <v>46114</v>
      </c>
      <c r="E12" s="1"/>
      <c r="F12" s="1">
        <v>46119</v>
      </c>
      <c r="G12">
        <v>465.682373046875</v>
      </c>
      <c r="H12">
        <v>252.91000366210901</v>
      </c>
      <c r="I12">
        <v>659.219970703125</v>
      </c>
      <c r="J12">
        <v>466.11218331465102</v>
      </c>
      <c r="K12">
        <v>253.47999572753901</v>
      </c>
      <c r="L12">
        <v>659.60998535156205</v>
      </c>
      <c r="M12">
        <v>461.913952802724</v>
      </c>
      <c r="N12">
        <v>249.52000427246</v>
      </c>
      <c r="O12">
        <v>651.05999755859295</v>
      </c>
      <c r="P12">
        <v>465.55242331367901</v>
      </c>
      <c r="Q12">
        <v>251.21000671386699</v>
      </c>
      <c r="R12">
        <v>656.65002441406205</v>
      </c>
      <c r="S12">
        <v>3943200</v>
      </c>
      <c r="T12">
        <v>34881900</v>
      </c>
      <c r="U12">
        <v>69980400</v>
      </c>
      <c r="V12">
        <v>4.40074105848786E-4</v>
      </c>
      <c r="W12">
        <v>-1.90671094095995E-3</v>
      </c>
      <c r="X12">
        <v>2.17943830411937E-3</v>
      </c>
      <c r="Y12">
        <v>-3.4601069720020701E-3</v>
      </c>
      <c r="Z12">
        <v>-2.1852311601581898E-3</v>
      </c>
      <c r="AA12">
        <v>-4.5569578923087203E-3</v>
      </c>
      <c r="AB12" s="3">
        <f t="shared" si="1"/>
        <v>2.7913018317257969E-4</v>
      </c>
      <c r="AC12" s="3">
        <f t="shared" si="2"/>
        <v>3.913722978014283E-3</v>
      </c>
      <c r="AD12" s="3">
        <f t="shared" si="3"/>
        <v>6.7672341977138917E-3</v>
      </c>
      <c r="AE12" t="str">
        <f t="shared" si="4"/>
        <v>UP</v>
      </c>
      <c r="AF12" t="str">
        <f t="shared" si="5"/>
        <v>UP</v>
      </c>
      <c r="AG12" t="str">
        <f t="shared" si="6"/>
        <v>UP</v>
      </c>
      <c r="AH12" t="str">
        <f t="shared" si="7"/>
        <v>UP</v>
      </c>
      <c r="AI12" t="str">
        <f t="shared" si="8"/>
        <v>UP</v>
      </c>
      <c r="AJ12" t="str">
        <f t="shared" si="9"/>
        <v>UP</v>
      </c>
      <c r="AK12" t="str">
        <f t="shared" si="10"/>
        <v>Negative</v>
      </c>
    </row>
    <row r="13" spans="1:37" x14ac:dyDescent="0.35">
      <c r="A13" t="s">
        <v>26</v>
      </c>
      <c r="B13" s="1">
        <v>46114</v>
      </c>
      <c r="C13">
        <v>0</v>
      </c>
      <c r="D13" s="1">
        <f t="shared" si="0"/>
        <v>46118</v>
      </c>
      <c r="E13" s="1"/>
      <c r="F13" s="1">
        <v>46120</v>
      </c>
      <c r="G13">
        <v>478.95672607421801</v>
      </c>
      <c r="H13">
        <v>260.47000122070301</v>
      </c>
      <c r="I13">
        <v>676.010009765625</v>
      </c>
      <c r="J13">
        <v>479.99629340863299</v>
      </c>
      <c r="K13">
        <v>262.26998901367102</v>
      </c>
      <c r="L13">
        <v>677.08001708984295</v>
      </c>
      <c r="M13">
        <v>475.35824722788499</v>
      </c>
      <c r="N13">
        <v>258.41000366210898</v>
      </c>
      <c r="O13">
        <v>671.46002197265602</v>
      </c>
      <c r="P13">
        <v>478.676846080872</v>
      </c>
      <c r="Q13">
        <v>261.51998901367102</v>
      </c>
      <c r="R13">
        <v>676.39001464843705</v>
      </c>
      <c r="S13">
        <v>4697500</v>
      </c>
      <c r="T13">
        <v>46680200</v>
      </c>
      <c r="U13">
        <v>93606100</v>
      </c>
      <c r="V13">
        <v>2.5469554638327601E-2</v>
      </c>
      <c r="W13">
        <v>2.85051653136279E-2</v>
      </c>
      <c r="X13">
        <v>2.9892046376678701E-2</v>
      </c>
      <c r="Y13">
        <v>2.6046000892538002E-2</v>
      </c>
      <c r="Z13">
        <v>2.7904154819038799E-2</v>
      </c>
      <c r="AA13">
        <v>3.4043672558976897E-2</v>
      </c>
      <c r="AB13" s="3">
        <f t="shared" si="1"/>
        <v>5.8469507275630596E-4</v>
      </c>
      <c r="AC13" s="3">
        <f t="shared" si="2"/>
        <v>-5.618132653977129E-4</v>
      </c>
      <c r="AD13" s="3">
        <f t="shared" si="3"/>
        <v>-4.0149427847869885E-3</v>
      </c>
      <c r="AE13" t="str">
        <f t="shared" si="4"/>
        <v>UP</v>
      </c>
      <c r="AF13" t="str">
        <f t="shared" si="5"/>
        <v>DOWN</v>
      </c>
      <c r="AG13" t="str">
        <f t="shared" si="6"/>
        <v>DOWN</v>
      </c>
      <c r="AH13" t="str">
        <f t="shared" si="7"/>
        <v>UP</v>
      </c>
      <c r="AI13" t="str">
        <f t="shared" si="8"/>
        <v>UP</v>
      </c>
      <c r="AJ13" t="str">
        <f t="shared" si="9"/>
        <v>UP</v>
      </c>
      <c r="AK13" t="str">
        <f t="shared" si="10"/>
        <v>Neutral</v>
      </c>
    </row>
    <row r="14" spans="1:37" x14ac:dyDescent="0.35">
      <c r="A14" t="s">
        <v>27</v>
      </c>
      <c r="B14" s="1">
        <v>46115</v>
      </c>
      <c r="C14">
        <v>-3</v>
      </c>
      <c r="D14" s="1">
        <f t="shared" si="0"/>
        <v>46118</v>
      </c>
      <c r="E14" s="1"/>
      <c r="F14" s="1">
        <v>46121</v>
      </c>
      <c r="G14">
        <v>481.695556640625</v>
      </c>
      <c r="H14">
        <v>261.95999145507801</v>
      </c>
      <c r="I14">
        <v>679.90997314453102</v>
      </c>
      <c r="J14">
        <v>483.06497056244802</v>
      </c>
      <c r="K14">
        <v>262.89999389648398</v>
      </c>
      <c r="L14">
        <v>681.15997314453102</v>
      </c>
      <c r="M14">
        <v>476.807646996068</v>
      </c>
      <c r="N14">
        <v>258.77999877929602</v>
      </c>
      <c r="O14">
        <v>673.77001953125</v>
      </c>
      <c r="P14">
        <v>477.28742384188598</v>
      </c>
      <c r="Q14">
        <v>258.77999877929602</v>
      </c>
      <c r="R14">
        <v>674.84002685546795</v>
      </c>
      <c r="S14">
        <v>4213700</v>
      </c>
      <c r="T14">
        <v>26758400</v>
      </c>
      <c r="U14">
        <v>57134400</v>
      </c>
      <c r="V14">
        <v>5.7690911710883697E-3</v>
      </c>
      <c r="W14">
        <v>5.71832572193975E-3</v>
      </c>
      <c r="X14">
        <v>5.7203909371217297E-3</v>
      </c>
      <c r="Y14">
        <v>-1.7307183225909401E-3</v>
      </c>
      <c r="Z14">
        <v>-3.48528821385333E-3</v>
      </c>
      <c r="AA14">
        <v>-6.4882805447306199E-3</v>
      </c>
      <c r="AB14" s="3">
        <f t="shared" si="1"/>
        <v>9.2358033724335639E-3</v>
      </c>
      <c r="AC14" s="3">
        <f t="shared" si="2"/>
        <v>7.5128120551582371E-3</v>
      </c>
      <c r="AD14" s="3">
        <f t="shared" si="3"/>
        <v>1.2288402082009778E-2</v>
      </c>
      <c r="AE14" t="str">
        <f t="shared" si="4"/>
        <v>UP</v>
      </c>
      <c r="AF14" t="str">
        <f t="shared" si="5"/>
        <v>UP</v>
      </c>
      <c r="AG14" t="str">
        <f t="shared" si="6"/>
        <v>UP</v>
      </c>
      <c r="AH14" t="str">
        <f t="shared" si="7"/>
        <v>UP</v>
      </c>
      <c r="AI14" t="str">
        <f t="shared" si="8"/>
        <v>UP</v>
      </c>
      <c r="AJ14" t="str">
        <f t="shared" si="9"/>
        <v>UP</v>
      </c>
      <c r="AK14" t="str">
        <f t="shared" si="10"/>
        <v>Negative</v>
      </c>
    </row>
    <row r="15" spans="1:37" x14ac:dyDescent="0.35">
      <c r="A15" t="s">
        <v>28</v>
      </c>
      <c r="B15" s="1">
        <v>46116</v>
      </c>
      <c r="C15">
        <v>0</v>
      </c>
      <c r="D15" s="1">
        <f t="shared" si="0"/>
        <v>46118</v>
      </c>
      <c r="E15" s="1"/>
      <c r="F15" s="1">
        <v>46122</v>
      </c>
      <c r="G15">
        <v>479.04669189453102</v>
      </c>
      <c r="H15">
        <v>261.29998779296801</v>
      </c>
      <c r="I15">
        <v>679.46002197265602</v>
      </c>
      <c r="J15">
        <v>482.19534949619799</v>
      </c>
      <c r="K15">
        <v>262.75</v>
      </c>
      <c r="L15">
        <v>682.030029296875</v>
      </c>
      <c r="M15">
        <v>478.42695979253898</v>
      </c>
      <c r="N15">
        <v>260.33999633789</v>
      </c>
      <c r="O15">
        <v>678.45001220703102</v>
      </c>
      <c r="P15">
        <v>481.99545264325701</v>
      </c>
      <c r="Q15">
        <v>262.39999389648398</v>
      </c>
      <c r="R15">
        <v>681.32000732421795</v>
      </c>
      <c r="S15">
        <v>2659000</v>
      </c>
      <c r="T15">
        <v>22365900</v>
      </c>
      <c r="U15">
        <v>42253500</v>
      </c>
      <c r="V15">
        <v>-6.6178051454956999E-4</v>
      </c>
      <c r="W15">
        <v>-5.4990433471445704E-3</v>
      </c>
      <c r="X15">
        <v>-2.5194826829979498E-3</v>
      </c>
      <c r="Y15">
        <v>2.0738542386225002E-3</v>
      </c>
      <c r="Z15">
        <v>6.22584116663861E-4</v>
      </c>
      <c r="AA15">
        <v>1.67965512199867E-3</v>
      </c>
      <c r="AB15" s="3">
        <f t="shared" si="1"/>
        <v>-6.1178186071155259E-3</v>
      </c>
      <c r="AC15" s="3">
        <f t="shared" si="2"/>
        <v>-2.7299731867067062E-3</v>
      </c>
      <c r="AD15" s="3">
        <f t="shared" si="3"/>
        <v>-4.1920965285918233E-3</v>
      </c>
      <c r="AE15" t="str">
        <f t="shared" si="4"/>
        <v>DOWN</v>
      </c>
      <c r="AF15" t="str">
        <f t="shared" si="5"/>
        <v>DOWN</v>
      </c>
      <c r="AG15" t="str">
        <f t="shared" si="6"/>
        <v>DOWN</v>
      </c>
      <c r="AH15" t="str">
        <f t="shared" si="7"/>
        <v>UP</v>
      </c>
      <c r="AI15" t="str">
        <f t="shared" si="8"/>
        <v>UP</v>
      </c>
      <c r="AJ15" t="str">
        <f t="shared" si="9"/>
        <v>UP</v>
      </c>
      <c r="AK15" t="str">
        <f t="shared" si="10"/>
        <v>Neutral</v>
      </c>
    </row>
    <row r="16" spans="1:37" x14ac:dyDescent="0.35">
      <c r="A16" t="s">
        <v>23</v>
      </c>
      <c r="B16" s="1">
        <v>46118</v>
      </c>
      <c r="C16">
        <v>-1</v>
      </c>
      <c r="D16" s="1">
        <f t="shared" si="0"/>
        <v>46119</v>
      </c>
      <c r="E16" s="1"/>
      <c r="F16" s="1">
        <v>46125</v>
      </c>
      <c r="G16">
        <v>481.92547607421801</v>
      </c>
      <c r="H16">
        <v>265.07000732421801</v>
      </c>
      <c r="I16">
        <v>686.09997558593705</v>
      </c>
      <c r="J16">
        <v>482.07540634041101</v>
      </c>
      <c r="K16">
        <v>265.35998535156199</v>
      </c>
      <c r="L16">
        <v>686.29998779296795</v>
      </c>
      <c r="M16">
        <v>474.94842614261898</v>
      </c>
      <c r="N16">
        <v>260.01998901367102</v>
      </c>
      <c r="O16">
        <v>676.58001708984295</v>
      </c>
      <c r="P16">
        <v>475.89803533622501</v>
      </c>
      <c r="Q16">
        <v>260.239990234375</v>
      </c>
      <c r="R16">
        <v>677.40997314453102</v>
      </c>
      <c r="S16">
        <v>3768700</v>
      </c>
      <c r="T16">
        <v>23820000</v>
      </c>
      <c r="U16">
        <v>54185800</v>
      </c>
      <c r="V16">
        <v>9.7723977843517905E-3</v>
      </c>
      <c r="W16">
        <v>6.0094020653864702E-3</v>
      </c>
      <c r="X16">
        <v>1.44279361170005E-2</v>
      </c>
      <c r="Y16">
        <v>-3.0171735817114799E-3</v>
      </c>
      <c r="Z16">
        <v>-6.5727550395005404E-3</v>
      </c>
      <c r="AA16">
        <v>-4.0566307237396397E-3</v>
      </c>
      <c r="AB16" s="3">
        <f t="shared" si="1"/>
        <v>1.2665403700888528E-2</v>
      </c>
      <c r="AC16" s="3">
        <f t="shared" si="2"/>
        <v>1.282827650302683E-2</v>
      </c>
      <c r="AD16" s="3">
        <f t="shared" si="3"/>
        <v>1.8559857328203266E-2</v>
      </c>
      <c r="AE16" t="str">
        <f t="shared" si="4"/>
        <v>UP</v>
      </c>
      <c r="AF16" t="str">
        <f t="shared" si="5"/>
        <v>UP</v>
      </c>
      <c r="AG16" t="str">
        <f t="shared" si="6"/>
        <v>UP</v>
      </c>
      <c r="AH16" t="str">
        <f t="shared" si="7"/>
        <v>UP</v>
      </c>
      <c r="AI16" t="str">
        <f t="shared" si="8"/>
        <v>UP</v>
      </c>
      <c r="AJ16" t="str">
        <f t="shared" si="9"/>
        <v>UP</v>
      </c>
      <c r="AK16" t="str">
        <f t="shared" si="10"/>
        <v>Negative</v>
      </c>
    </row>
    <row r="17" spans="1:37" x14ac:dyDescent="0.35">
      <c r="A17" t="s">
        <v>24</v>
      </c>
      <c r="B17" s="1">
        <v>46119</v>
      </c>
      <c r="C17">
        <v>-2</v>
      </c>
      <c r="D17" s="1">
        <f t="shared" si="0"/>
        <v>46120</v>
      </c>
      <c r="E17" s="1"/>
      <c r="F17" s="1">
        <v>46126</v>
      </c>
      <c r="G17">
        <v>485.28402709960898</v>
      </c>
      <c r="H17">
        <v>268.72000122070301</v>
      </c>
      <c r="I17">
        <v>694.46002197265602</v>
      </c>
      <c r="J17">
        <v>485.76383444720199</v>
      </c>
      <c r="K17">
        <v>269.42001342773398</v>
      </c>
      <c r="L17">
        <v>694.58001708984295</v>
      </c>
      <c r="M17">
        <v>481.65556220155401</v>
      </c>
      <c r="N17">
        <v>266.27999877929602</v>
      </c>
      <c r="O17">
        <v>687.65997314453102</v>
      </c>
      <c r="P17">
        <v>482.20534717362301</v>
      </c>
      <c r="Q17">
        <v>267.08999633789</v>
      </c>
      <c r="R17">
        <v>687.69000244140602</v>
      </c>
      <c r="S17">
        <v>4217900</v>
      </c>
      <c r="T17">
        <v>24270400</v>
      </c>
      <c r="U17">
        <v>63480500</v>
      </c>
      <c r="V17">
        <v>1.2184880752370101E-2</v>
      </c>
      <c r="W17">
        <v>6.9690256940750902E-3</v>
      </c>
      <c r="X17">
        <v>1.3769924154489001E-2</v>
      </c>
      <c r="Y17">
        <v>2.3174856610523099E-3</v>
      </c>
      <c r="Z17">
        <v>5.8073522421833203E-4</v>
      </c>
      <c r="AA17">
        <v>7.6205868557627397E-3</v>
      </c>
      <c r="AB17" s="3">
        <f t="shared" si="1"/>
        <v>6.3845827177803063E-3</v>
      </c>
      <c r="AC17" s="3">
        <f t="shared" si="2"/>
        <v>9.8445804173615762E-3</v>
      </c>
      <c r="AD17" s="3">
        <f t="shared" si="3"/>
        <v>6.1028301514929311E-3</v>
      </c>
      <c r="AE17" t="str">
        <f t="shared" si="4"/>
        <v>UP</v>
      </c>
      <c r="AF17" t="str">
        <f t="shared" si="5"/>
        <v>UP</v>
      </c>
      <c r="AG17" t="str">
        <f t="shared" si="6"/>
        <v>UP</v>
      </c>
      <c r="AH17" t="str">
        <f t="shared" si="7"/>
        <v>UP</v>
      </c>
      <c r="AI17" t="str">
        <f t="shared" si="8"/>
        <v>DOWN</v>
      </c>
      <c r="AJ17" t="str">
        <f t="shared" si="9"/>
        <v>DOWN</v>
      </c>
      <c r="AK17" t="str">
        <f t="shared" si="10"/>
        <v>Negative</v>
      </c>
    </row>
    <row r="18" spans="1:37" x14ac:dyDescent="0.35">
      <c r="A18" t="s">
        <v>25</v>
      </c>
      <c r="B18" s="1">
        <v>46120</v>
      </c>
      <c r="C18">
        <v>0</v>
      </c>
      <c r="D18" s="1">
        <f t="shared" si="0"/>
        <v>46121</v>
      </c>
      <c r="E18" s="1"/>
      <c r="F18" s="1">
        <v>46127</v>
      </c>
      <c r="G18">
        <v>484.51437377929602</v>
      </c>
      <c r="H18">
        <v>269.39001464843699</v>
      </c>
      <c r="I18">
        <v>699.94000244140602</v>
      </c>
      <c r="J18">
        <v>486.87335798019802</v>
      </c>
      <c r="K18">
        <v>269.58999633789</v>
      </c>
      <c r="L18">
        <v>700.280029296875</v>
      </c>
      <c r="M18">
        <v>482.65514696425498</v>
      </c>
      <c r="N18">
        <v>267.58999633789</v>
      </c>
      <c r="O18">
        <v>694.20001220703102</v>
      </c>
      <c r="P18">
        <v>486.30362296855702</v>
      </c>
      <c r="Q18">
        <v>268.77999877929602</v>
      </c>
      <c r="R18">
        <v>695.260009765625</v>
      </c>
      <c r="S18">
        <v>3474500</v>
      </c>
      <c r="T18">
        <v>21670600</v>
      </c>
      <c r="U18">
        <v>58240400</v>
      </c>
      <c r="V18">
        <v>7.89099486703892E-3</v>
      </c>
      <c r="W18">
        <v>-1.5859852732274999E-3</v>
      </c>
      <c r="X18">
        <v>2.4933515357647902E-3</v>
      </c>
      <c r="Y18">
        <v>1.15195658159894E-3</v>
      </c>
      <c r="Z18">
        <v>2.1010291128715302E-3</v>
      </c>
      <c r="AA18">
        <v>2.2327165198422701E-4</v>
      </c>
      <c r="AB18" s="3">
        <f t="shared" si="1"/>
        <v>-3.6792841030853008E-3</v>
      </c>
      <c r="AC18" s="3">
        <f t="shared" si="2"/>
        <v>6.7312841383738832E-3</v>
      </c>
      <c r="AD18" s="3">
        <f t="shared" si="3"/>
        <v>2.2695731524348651E-3</v>
      </c>
      <c r="AE18" t="str">
        <f t="shared" si="4"/>
        <v>DOWN</v>
      </c>
      <c r="AF18" t="str">
        <f t="shared" si="5"/>
        <v>UP</v>
      </c>
      <c r="AG18" t="str">
        <f t="shared" si="6"/>
        <v>UP</v>
      </c>
      <c r="AH18" t="str">
        <f t="shared" si="7"/>
        <v>UP</v>
      </c>
      <c r="AI18" t="str">
        <f t="shared" si="8"/>
        <v>UP</v>
      </c>
      <c r="AJ18" t="str">
        <f t="shared" si="9"/>
        <v>UP</v>
      </c>
      <c r="AK18" t="str">
        <f t="shared" si="10"/>
        <v>Neutral</v>
      </c>
    </row>
    <row r="19" spans="1:37" x14ac:dyDescent="0.35">
      <c r="A19" t="s">
        <v>26</v>
      </c>
      <c r="B19" s="1">
        <v>46121</v>
      </c>
      <c r="C19">
        <v>-1</v>
      </c>
      <c r="D19" s="1">
        <f t="shared" si="0"/>
        <v>46122</v>
      </c>
      <c r="E19" s="1"/>
      <c r="F19" s="1">
        <v>46128</v>
      </c>
      <c r="G19">
        <v>485.42401123046801</v>
      </c>
      <c r="H19">
        <v>269.95001220703102</v>
      </c>
      <c r="I19">
        <v>701.65997314453102</v>
      </c>
      <c r="J19">
        <v>486.57351732463297</v>
      </c>
      <c r="K19">
        <v>270.350006103515</v>
      </c>
      <c r="L19">
        <v>702.780029296875</v>
      </c>
      <c r="M19">
        <v>483.14497957690702</v>
      </c>
      <c r="N19">
        <v>268.04998779296801</v>
      </c>
      <c r="O19">
        <v>698.530029296875</v>
      </c>
      <c r="P19">
        <v>485.61393307698398</v>
      </c>
      <c r="Q19">
        <v>269.45001220703102</v>
      </c>
      <c r="R19">
        <v>701.05999755859295</v>
      </c>
      <c r="S19">
        <v>4111500</v>
      </c>
      <c r="T19">
        <v>30847900</v>
      </c>
      <c r="U19">
        <v>49972400</v>
      </c>
      <c r="V19">
        <v>2.4573116226043099E-3</v>
      </c>
      <c r="W19">
        <v>1.8774209815006701E-3</v>
      </c>
      <c r="X19">
        <v>2.078761379944E-3</v>
      </c>
      <c r="Y19">
        <v>1.6001301729875799E-3</v>
      </c>
      <c r="Z19">
        <v>2.26940490766315E-3</v>
      </c>
      <c r="AA19">
        <v>2.22716341851232E-4</v>
      </c>
      <c r="AB19" s="3">
        <f t="shared" si="1"/>
        <v>-3.9109637014031853E-4</v>
      </c>
      <c r="AC19" s="3">
        <f t="shared" si="2"/>
        <v>8.5581203895166455E-4</v>
      </c>
      <c r="AD19" s="3">
        <f t="shared" si="3"/>
        <v>1.8556317585757861E-3</v>
      </c>
      <c r="AE19" t="str">
        <f t="shared" si="4"/>
        <v>DOWN</v>
      </c>
      <c r="AF19" t="str">
        <f t="shared" si="5"/>
        <v>UP</v>
      </c>
      <c r="AG19" t="str">
        <f t="shared" si="6"/>
        <v>UP</v>
      </c>
      <c r="AH19" t="str">
        <f t="shared" si="7"/>
        <v>DOWN</v>
      </c>
      <c r="AI19" t="str">
        <f t="shared" si="8"/>
        <v>DOWN</v>
      </c>
      <c r="AJ19" t="str">
        <f t="shared" si="9"/>
        <v>DOWN</v>
      </c>
      <c r="AK19" t="str">
        <f t="shared" si="10"/>
        <v>Negative</v>
      </c>
    </row>
    <row r="20" spans="1:37" x14ac:dyDescent="0.35">
      <c r="A20" t="s">
        <v>27</v>
      </c>
      <c r="B20" s="1">
        <v>46122</v>
      </c>
      <c r="C20">
        <v>-3</v>
      </c>
      <c r="D20" s="1">
        <f t="shared" si="0"/>
        <v>46125</v>
      </c>
      <c r="E20" s="1"/>
      <c r="F20" s="1">
        <v>46129</v>
      </c>
      <c r="G20">
        <v>494.22000122070301</v>
      </c>
      <c r="H20">
        <v>275.77999877929602</v>
      </c>
      <c r="I20">
        <v>710.14001464843705</v>
      </c>
      <c r="J20">
        <v>497.04000854492102</v>
      </c>
      <c r="K20">
        <v>277.63000488281199</v>
      </c>
      <c r="L20">
        <v>712.39001464843705</v>
      </c>
      <c r="M20">
        <v>490.35998535156199</v>
      </c>
      <c r="N20">
        <v>273.11999511718699</v>
      </c>
      <c r="O20">
        <v>705.760009765625</v>
      </c>
      <c r="P20">
        <v>490.67001342773398</v>
      </c>
      <c r="Q20">
        <v>273.739990234375</v>
      </c>
      <c r="R20">
        <v>706.14001464843705</v>
      </c>
      <c r="S20">
        <v>10235600</v>
      </c>
      <c r="T20">
        <v>46424100</v>
      </c>
      <c r="U20">
        <v>70538900</v>
      </c>
      <c r="V20">
        <v>1.2085685130224001E-2</v>
      </c>
      <c r="W20">
        <v>1.8120220233725101E-2</v>
      </c>
      <c r="X20">
        <v>2.15965412433263E-2</v>
      </c>
      <c r="Y20">
        <v>6.3849181589034796E-3</v>
      </c>
      <c r="Z20">
        <v>1.0807051311631399E-2</v>
      </c>
      <c r="AA20">
        <v>1.4039554939664601E-2</v>
      </c>
      <c r="AB20" s="3">
        <f t="shared" si="1"/>
        <v>7.2349801206913929E-3</v>
      </c>
      <c r="AC20" s="3">
        <f t="shared" si="2"/>
        <v>5.6645989704909487E-3</v>
      </c>
      <c r="AD20" s="3">
        <f t="shared" si="3"/>
        <v>7.4523585069699748E-3</v>
      </c>
      <c r="AE20" t="str">
        <f t="shared" si="4"/>
        <v>UP</v>
      </c>
      <c r="AF20" t="str">
        <f t="shared" si="5"/>
        <v>UP</v>
      </c>
      <c r="AG20" t="str">
        <f t="shared" si="6"/>
        <v>UP</v>
      </c>
      <c r="AH20" t="str">
        <f t="shared" si="7"/>
        <v>UP</v>
      </c>
      <c r="AI20" t="str">
        <f t="shared" si="8"/>
        <v>UP</v>
      </c>
      <c r="AJ20" t="str">
        <f t="shared" si="9"/>
        <v>UP</v>
      </c>
      <c r="AK20" t="str">
        <f t="shared" si="10"/>
        <v>Negative</v>
      </c>
    </row>
    <row r="21" spans="1:37" x14ac:dyDescent="0.35">
      <c r="A21" t="s">
        <v>28</v>
      </c>
      <c r="B21" s="1">
        <v>46123</v>
      </c>
      <c r="C21">
        <v>-1</v>
      </c>
      <c r="D21" s="1">
        <f t="shared" si="0"/>
        <v>46125</v>
      </c>
      <c r="E21" s="1"/>
      <c r="F21" s="1">
        <v>46132</v>
      </c>
      <c r="G21">
        <v>493.73001098632801</v>
      </c>
      <c r="H21">
        <v>276.79998779296801</v>
      </c>
      <c r="I21">
        <v>708.15002441406205</v>
      </c>
      <c r="J21">
        <v>494.76998901367102</v>
      </c>
      <c r="K21">
        <v>277.300689697265</v>
      </c>
      <c r="L21">
        <v>709.90997314453102</v>
      </c>
      <c r="M21">
        <v>492.30999755859301</v>
      </c>
      <c r="N21">
        <v>274.52999877929602</v>
      </c>
      <c r="O21">
        <v>706.14001464843705</v>
      </c>
      <c r="P21">
        <v>493.45001220703102</v>
      </c>
      <c r="Q21">
        <v>274.64999389648398</v>
      </c>
      <c r="R21">
        <v>708.780029296875</v>
      </c>
      <c r="S21">
        <v>2846830</v>
      </c>
      <c r="T21">
        <v>15307091</v>
      </c>
      <c r="U21">
        <v>24990355</v>
      </c>
      <c r="V21">
        <v>-2.8022505327490702E-3</v>
      </c>
      <c r="W21">
        <v>-9.914415304211879E-4</v>
      </c>
      <c r="X21">
        <v>3.6985605126793599E-3</v>
      </c>
      <c r="Y21">
        <v>-1.91509466233328E-3</v>
      </c>
      <c r="Z21">
        <v>-1.5579883690867099E-3</v>
      </c>
      <c r="AA21">
        <v>-4.0974867206262696E-3</v>
      </c>
      <c r="AB21" s="3">
        <f t="shared" si="1"/>
        <v>5.6743088939171593E-4</v>
      </c>
      <c r="AC21" s="3">
        <f t="shared" si="2"/>
        <v>-8.8885811785347998E-4</v>
      </c>
      <c r="AD21" s="3">
        <f t="shared" si="3"/>
        <v>7.828122862782113E-3</v>
      </c>
      <c r="AE21" t="str">
        <f t="shared" si="4"/>
        <v>UP</v>
      </c>
      <c r="AF21" t="str">
        <f t="shared" si="5"/>
        <v>DOWN</v>
      </c>
      <c r="AG21" t="str">
        <f t="shared" si="6"/>
        <v>UP</v>
      </c>
      <c r="AH21" t="str">
        <f t="shared" si="7"/>
        <v>UP</v>
      </c>
      <c r="AI21" t="str">
        <f t="shared" si="8"/>
        <v>UP</v>
      </c>
      <c r="AJ21" t="str">
        <f t="shared" si="9"/>
        <v>UP</v>
      </c>
      <c r="AK21" t="str">
        <f t="shared" si="10"/>
        <v>Negative</v>
      </c>
    </row>
    <row r="22" spans="1:37" x14ac:dyDescent="0.35">
      <c r="A22" t="s">
        <v>22</v>
      </c>
      <c r="B22" s="1">
        <v>46124</v>
      </c>
      <c r="C22">
        <v>0</v>
      </c>
      <c r="D22" s="1">
        <f t="shared" si="0"/>
        <v>46125</v>
      </c>
      <c r="E22" s="1"/>
      <c r="AH22" t="str">
        <f t="shared" si="7"/>
        <v>UP</v>
      </c>
      <c r="AI22" t="str">
        <f t="shared" si="8"/>
        <v>UP</v>
      </c>
      <c r="AJ22" t="str">
        <f t="shared" si="9"/>
        <v>UP</v>
      </c>
      <c r="AK22" t="str">
        <f t="shared" si="10"/>
        <v>Neutral</v>
      </c>
    </row>
    <row r="23" spans="1:37" x14ac:dyDescent="0.35">
      <c r="A23" t="s">
        <v>23</v>
      </c>
      <c r="B23" s="1">
        <v>46125</v>
      </c>
      <c r="C23">
        <v>0</v>
      </c>
      <c r="D23" s="1">
        <f t="shared" si="0"/>
        <v>46126</v>
      </c>
      <c r="E23" s="1"/>
      <c r="AH23" t="str">
        <f t="shared" si="7"/>
        <v>UP</v>
      </c>
      <c r="AI23" t="str">
        <f t="shared" si="8"/>
        <v>UP</v>
      </c>
      <c r="AJ23" t="str">
        <f t="shared" si="9"/>
        <v>UP</v>
      </c>
      <c r="AK23" t="str">
        <f t="shared" si="10"/>
        <v>Neutral</v>
      </c>
    </row>
    <row r="24" spans="1:37" x14ac:dyDescent="0.35">
      <c r="A24" t="s">
        <v>24</v>
      </c>
      <c r="B24" s="1">
        <v>46126</v>
      </c>
      <c r="C24">
        <v>-4</v>
      </c>
      <c r="D24" s="1">
        <f t="shared" si="0"/>
        <v>46127</v>
      </c>
      <c r="E24" s="1"/>
      <c r="AH24" t="str">
        <f t="shared" si="7"/>
        <v>DOWN</v>
      </c>
      <c r="AI24" t="str">
        <f t="shared" si="8"/>
        <v>UP</v>
      </c>
      <c r="AJ24" t="str">
        <f t="shared" si="9"/>
        <v>UP</v>
      </c>
      <c r="AK24" t="str">
        <f t="shared" si="10"/>
        <v>Negative</v>
      </c>
    </row>
    <row r="25" spans="1:37" x14ac:dyDescent="0.35">
      <c r="A25" t="s">
        <v>25</v>
      </c>
      <c r="B25" s="1">
        <v>46127</v>
      </c>
      <c r="C25">
        <v>-4</v>
      </c>
      <c r="D25" s="1">
        <f t="shared" si="0"/>
        <v>46128</v>
      </c>
      <c r="E25" s="1"/>
      <c r="AH25" t="str">
        <f t="shared" si="7"/>
        <v>DOWN</v>
      </c>
      <c r="AI25" t="str">
        <f t="shared" si="8"/>
        <v>UP</v>
      </c>
      <c r="AJ25" t="str">
        <f t="shared" si="9"/>
        <v>UP</v>
      </c>
      <c r="AK25" t="str">
        <f t="shared" si="10"/>
        <v>Negative</v>
      </c>
    </row>
    <row r="26" spans="1:37" x14ac:dyDescent="0.35">
      <c r="A26" t="s">
        <v>26</v>
      </c>
      <c r="B26" s="1">
        <v>46128</v>
      </c>
      <c r="C26">
        <v>0</v>
      </c>
      <c r="D26" s="1">
        <f t="shared" si="0"/>
        <v>46129</v>
      </c>
      <c r="E26" s="1"/>
      <c r="AH26" t="str">
        <f t="shared" si="7"/>
        <v>UP</v>
      </c>
      <c r="AI26" t="str">
        <f t="shared" si="8"/>
        <v>UP</v>
      </c>
      <c r="AJ26" t="str">
        <f t="shared" si="9"/>
        <v>UP</v>
      </c>
      <c r="AK26" t="str">
        <f t="shared" si="10"/>
        <v>Neutral</v>
      </c>
    </row>
    <row r="27" spans="1:37" x14ac:dyDescent="0.35">
      <c r="A27" t="s">
        <v>27</v>
      </c>
      <c r="B27" s="1">
        <v>46129</v>
      </c>
      <c r="C27">
        <v>0</v>
      </c>
      <c r="D27" s="1">
        <f t="shared" si="0"/>
        <v>46132</v>
      </c>
      <c r="E27" s="1"/>
      <c r="AH27" t="str">
        <f t="shared" si="7"/>
        <v>UP</v>
      </c>
      <c r="AI27" t="str">
        <f t="shared" si="8"/>
        <v>DOWN</v>
      </c>
      <c r="AJ27" t="str">
        <f t="shared" si="9"/>
        <v>UP</v>
      </c>
      <c r="AK27" t="str">
        <f t="shared" si="10"/>
        <v>Neutral</v>
      </c>
    </row>
    <row r="28" spans="1:37" x14ac:dyDescent="0.35">
      <c r="A28" t="s">
        <v>28</v>
      </c>
      <c r="B28" s="1">
        <v>46130</v>
      </c>
      <c r="C28">
        <v>0</v>
      </c>
      <c r="D28" s="1">
        <f t="shared" si="0"/>
        <v>46132</v>
      </c>
      <c r="E28" s="1"/>
      <c r="AH28" t="str">
        <f t="shared" si="7"/>
        <v>UP</v>
      </c>
      <c r="AI28" t="str">
        <f t="shared" si="8"/>
        <v>DOWN</v>
      </c>
      <c r="AJ28" t="str">
        <f t="shared" si="9"/>
        <v>UP</v>
      </c>
      <c r="AK28" t="str">
        <f t="shared" si="10"/>
        <v>Neutral</v>
      </c>
    </row>
    <row r="29" spans="1:37" x14ac:dyDescent="0.35">
      <c r="A29" t="s">
        <v>22</v>
      </c>
      <c r="B29" s="1">
        <v>46131</v>
      </c>
      <c r="C29">
        <v>1</v>
      </c>
      <c r="D29" s="1">
        <f t="shared" si="0"/>
        <v>46132</v>
      </c>
      <c r="E29" s="1"/>
      <c r="AH29" t="str">
        <f t="shared" si="7"/>
        <v>UP</v>
      </c>
      <c r="AI29" t="str">
        <f t="shared" si="8"/>
        <v>DOWN</v>
      </c>
      <c r="AJ29" t="str">
        <f t="shared" si="9"/>
        <v>UP</v>
      </c>
      <c r="AK29" t="str">
        <f t="shared" si="10"/>
        <v>Positive</v>
      </c>
    </row>
    <row r="32" spans="1:37" x14ac:dyDescent="0.35">
      <c r="AF3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Bowman</dc:creator>
  <cp:lastModifiedBy>Michael Bowman</cp:lastModifiedBy>
  <dcterms:created xsi:type="dcterms:W3CDTF">2015-06-05T18:17:20Z</dcterms:created>
  <dcterms:modified xsi:type="dcterms:W3CDTF">2026-05-20T15:59:01Z</dcterms:modified>
</cp:coreProperties>
</file>